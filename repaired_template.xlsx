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fujimotogakuto/Library/CloudStorage/GoogleDrive-manamana072554@gmail.com/マイドライブ/営業レポート作成AI/"/>
    </mc:Choice>
  </mc:AlternateContent>
  <xr:revisionPtr revIDLastSave="0" documentId="13_ncr:1_{FA864DC4-C2CD-A44A-A93C-83B5E0885E6F}" xr6:coauthVersionLast="47" xr6:coauthVersionMax="47" xr10:uidLastSave="{00000000-0000-0000-0000-000000000000}"/>
  <bookViews>
    <workbookView xWindow="0" yWindow="680" windowWidth="29400" windowHeight="18440" xr2:uid="{00000000-000D-0000-FFFF-FFFF00000000}"/>
  </bookViews>
  <sheets>
    <sheet name="エキスパートハブ様"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H2" i="1"/>
  <c r="B11" i="1" s="1"/>
  <c r="B13" i="1"/>
  <c r="B12" i="1"/>
  <c r="H23" i="1"/>
  <c r="H22" i="1"/>
  <c r="H21" i="1"/>
  <c r="H20" i="1"/>
  <c r="H172" i="1"/>
  <c r="H171" i="1"/>
  <c r="H170" i="1"/>
  <c r="H169" i="1"/>
  <c r="H168" i="1"/>
  <c r="H167" i="1"/>
  <c r="H166" i="1"/>
  <c r="H165" i="1"/>
  <c r="H164" i="1"/>
  <c r="H163" i="1"/>
  <c r="H7" i="1" s="1"/>
  <c r="B15" i="1" s="1"/>
  <c r="H162"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4" i="1" s="1"/>
  <c r="H104" i="1"/>
  <c r="H103" i="1"/>
  <c r="H102" i="1"/>
  <c r="H101" i="1"/>
  <c r="H100" i="1"/>
  <c r="H99" i="1"/>
  <c r="H98" i="1"/>
  <c r="H97" i="1"/>
  <c r="H96" i="1"/>
  <c r="H95" i="1"/>
  <c r="H94" i="1"/>
  <c r="H93" i="1"/>
  <c r="H92" i="1"/>
  <c r="H91" i="1"/>
  <c r="H90" i="1"/>
  <c r="H89" i="1"/>
  <c r="H88" i="1"/>
  <c r="H87" i="1"/>
  <c r="H86" i="1"/>
  <c r="H85" i="1"/>
  <c r="H84" i="1"/>
  <c r="H83" i="1"/>
  <c r="H3" i="1" s="1"/>
  <c r="H81" i="1"/>
  <c r="H80" i="1"/>
  <c r="H79" i="1"/>
  <c r="H78" i="1"/>
  <c r="H77" i="1"/>
  <c r="H76" i="1"/>
  <c r="H75" i="1"/>
  <c r="H74" i="1"/>
  <c r="H73" i="1"/>
  <c r="H72" i="1"/>
  <c r="H6" i="1"/>
  <c r="B14" i="1" s="1"/>
</calcChain>
</file>

<file path=xl/sharedStrings.xml><?xml version="1.0" encoding="utf-8"?>
<sst xmlns="http://schemas.openxmlformats.org/spreadsheetml/2006/main" count="356" uniqueCount="250">
  <si>
    <t>商談企業名：</t>
  </si>
  <si>
    <t>株式会社Saleshub</t>
  </si>
  <si>
    <t>Q＆A</t>
  </si>
  <si>
    <t>日付：</t>
  </si>
  <si>
    <t>見た目</t>
  </si>
  <si>
    <t>弊社→先方質問内容</t>
  </si>
  <si>
    <t>回答</t>
  </si>
  <si>
    <t>商談先HP：</t>
  </si>
  <si>
    <t>https://saleshub.jp/lps/enterprise/experthub</t>
  </si>
  <si>
    <t>環境整備</t>
  </si>
  <si>
    <t>御社のこのサービスを使うと想定されている企業は、大体どういう企業なのか？大手企業（エンタープライズ）が顧問サービスを使うイメージなのか、それとも顧問サービスを使ったことがないような企業がターゲットなのか。</t>
  </si>
  <si>
    <t>今まで顧問サービスを使ったことがないような会社を狙っていきたい。
既存の「Saleshub（プラットフォーム）」はITリテラシーが高く自分で使いこなせる企業には良いが、地方企業やレガシーな産業など、使いこなせない企業も多い。そういった企業に「営業代行」に近い形で深く入り込み、プラットフォームの活用も含めて支援したい。</t>
  </si>
  <si>
    <t>先方営業担当者：</t>
  </si>
  <si>
    <t>最上倫好</t>
  </si>
  <si>
    <t>事前情報</t>
  </si>
  <si>
    <t>「Saleshub」の中にリストがあって「この人に会いたい」と繋いでもらうサービスだと思うが、この「エキスパートハブ」において顧問の方に間に入ってもらうことで、具体的にどういうことが変わるのか？何を期待して良いのか？</t>
  </si>
  <si>
    <t>従来のSaleshubは「アポを取って終わり（場をセッティングするだけ）」だった。
エキスパートハブでは、顧問がPM（プロジェクトマネージャー）のような立ち位置になり、社内事情や営業戦略（どの部署を攻めるべきか、誰に会うべきか）のアドバイスを行う。
必要であればクロージングまでの同席も行うため、「単なるアポ獲得」ではなく「受注に向けた伴走」が可能になる。</t>
  </si>
  <si>
    <t>営業担当者役職：</t>
  </si>
  <si>
    <t>セールス</t>
  </si>
  <si>
    <t>他社（例：ビジネスタンク社）では「経済的価値が見出せなければ全額返金」というプランがある。御社の場合、月額費用に対してどれくらいの成果（支払い指数や投資対効果）が得られているのか？ 平均値や中央値はあるか？また、売上（荒利）に対しての費用対効果をどう期待すればよいか。</t>
  </si>
  <si>
    <t>サービス開始直後のため確たるデータは少ないが、月額15万円～（内訳：弊社10万＋顧問5万）という低価格設定にしている。
顧問への支払いは月5万円＋アポイント成果報酬（100%顧問へ還元）という形にしており、顧問側も「動けば稼げる」仕組みにしている。
顧問任せにせず、Saleshubのプラットフォーム（5万人のサポーター）も併用できるため、顧問の人脈が尽きた後もアプローチを継続できる点が強み。</t>
  </si>
  <si>
    <t>CrowdSearch担当者：</t>
  </si>
  <si>
    <t>後藤</t>
  </si>
  <si>
    <t>非言語力</t>
  </si>
  <si>
    <t>契約後のサポート体制はどうなっているか？ 例えば顧問の方と方向性が合わなかったり、業務進行にギャップが生まれてトラブルになったりした場合、御社の担当者が間に入ってサポートや再マッチング、軌道修正をしてくれる仕組みはあるのか？</t>
  </si>
  <si>
    <t>月1回の定例ミーティングに弊社（Saleshub）担当者も同席し、認識のズレがないか調整を行う。
また、他社のように「半年・1年縛り」の契約期間を設けておらず、前月申告でいつでも解約が可能（違約金なし）。相性が合わないと感じたらすぐにストップできる設計にしてリスクを下げている。</t>
  </si>
  <si>
    <t>録画リンク：</t>
  </si>
  <si>
    <t>https://reccloud.com/jp/u/30363kg</t>
  </si>
  <si>
    <t>言語力</t>
  </si>
  <si>
    <t>どこまでが「Saleshub（サービス）」の価値で、どこからが「顧問個人」の価値なのか？ 誰が顧問になるかで価値が大きく変わると思うが、そのマッチングの精度や、顧問に依存する部分とサービスとして担保される部分の違いを知りたい。</t>
  </si>
  <si>
    <t>顧問の役割は「商談の設定」と「営業開拓の戦略立案」。
Saleshub（サービス側）の価値は、顧問個人の人脈だけに依存せず、プラットフォーム上の5万人のサポーターネットワークを使えること。これにより「顧問の人脈が枯渇したら終わり」という事態を防げる。</t>
  </si>
  <si>
    <t>商談トーク台本リンク：</t>
  </si>
  <si>
    <t>（見本用）エキスパートハブ様商談文字お越し</t>
  </si>
  <si>
    <t>業界あるあるとして、顧問サービスを使っている企業が直面する「よくあるトラブル」にはどういうものがあるか？</t>
  </si>
  <si>
    <t>① 費用対効果の不一致： 契約期間（半年など）が残っているのに成果が出ず、コストだけ払い続けることになる。
② 人脈の枯渇： 顧問が持っている名刺リストを使い切ると、やることがなくなる。
③ 顧問アレルギー： 企業側が「顧問からの紹介」というだけで警戒して会ってくれなくなる。
→ これらを「短期解約OK」「プラットフォーム活用」「顧問以外のサポーター活用」で解決する。</t>
  </si>
  <si>
    <t>営業資料リンク：</t>
  </si>
  <si>
    <t>エキスパートハブ_事業概要資料.pdf</t>
  </si>
  <si>
    <t>弊社（Locare）はこれまで、ITリテラシーがあまり高くない地方の中小企業に対し、実店舗とWebを融合させた「ローカルエリアマーケティング（集客・来店促進）」を支援してきた。
御社の顧問サービスは、こうした**「リアル×Web」領域での大手開拓**においても有効か？ 知見や適した顧問がいるか教えてほしい。</t>
  </si>
  <si>
    <t>具体的には、小売・アパレル・コスメ業界の出身者や、東京ガールズコレクションの実行委員経験者など、店舗展開やリアルイベントに強い人脈を持つ顧問がいる。
また、自身でECコンサルを行いながらリアル店舗の販路開拓も手掛ける顧問もおり、大手メーカー（食品・製造など）の**「マーケティング責任者」や「新規事業開発部」**といった、まさに御社がターゲットとしたい決裁者層への太いパイプを持っている。
彼らはリアル産業の課題（採用難や集客）も熟知しているため、御社の強みを適切な部署へ繋ぐことができる</t>
  </si>
  <si>
    <t>総合数値</t>
  </si>
  <si>
    <t>中小企業の支援において、本当にその顧問がエンタープライズ（大手）の元取締役クラスのようなバリューを発揮できるのか、経営者としては判断が難しい（＝サービスの価値を見極めるのが難しい）。「アポを繋いでくれる」価値は分かりやすいが、戦略支援までできるかどうかの判断はどうすればいいのか？</t>
  </si>
  <si>
    <t>おっしゃる通り、顧問次第な部分はある。だからこそ、面談（無料）を行い、相性や具体的な提案内容を確認してから契約できるようにしている。
また、高額な固定費で縛るのではなく、スモールスタート（月15万～）で始めて、ダメならすぐ解約できる仕組みにしているのが最大の価値提案。</t>
  </si>
  <si>
    <t>商談前ＩＳ</t>
  </si>
  <si>
    <t>商談態勢</t>
  </si>
  <si>
    <t>営業人間力</t>
  </si>
  <si>
    <t>商談対応力</t>
  </si>
  <si>
    <t>商談後フォロー</t>
  </si>
  <si>
    <t>■商談画像スクリーンショット</t>
  </si>
  <si>
    <t>先方→弊社質問内容</t>
  </si>
  <si>
    <t>今回、具体的にどのような課題感をお持ちで、どのような販路拡大（ターゲット）を目指していきたいといったご要望はあるか？</t>
  </si>
  <si>
    <t>これまでは地方の中小企業（ITリテラシーが低く予算も少額な層）のWebマーケティング支援を行ってきた。
今後は、**大手企業（エンタープライズ）**に挑戦したい。特に不動産やハウスメーカーなど、高単価な商材を扱う大手企業に対し、中小企業向けと同じように価値提供ができるか挑戦し、価値貢献していきたい。</t>
  </si>
  <si>
    <t>型の徹底度</t>
  </si>
  <si>
    <t>大手企業の中でも、業界やターゲットの絞り込みは行っているか？（幅広く狙うのか、特定領域か）</t>
  </si>
  <si>
    <t>*「ローカルエリアマーケティング」を強みとしているため、Webだけで完結するビジネスではなく、リアルとWebを融合させる必要がある業態を狙いたい。
具体的には、「来店・集客・来場・イベント」**といった要素が必要なBtoC企業。
例：ドラッグストア、製造直販の小売、住宅展示場への集客が必要なハウスメーカーなど。
Web広告だけでなく、実店舗への送客まで支援できる点が強み。</t>
  </si>
  <si>
    <t>資料活用レベル</t>
  </si>
  <si>
    <t>トーク完コピレベル</t>
  </si>
  <si>
    <t>虎の巻 事前準備アクション徹底</t>
  </si>
  <si>
    <t>虎の巻 課題解決徹底</t>
  </si>
  <si>
    <t>虎の巻 テクニック徹底</t>
  </si>
  <si>
    <t>【AIを用いたHP情報整理】</t>
  </si>
  <si>
    <t>【商談での情報整理】</t>
  </si>
  <si>
    <t>項目</t>
  </si>
  <si>
    <t>内容</t>
  </si>
  <si>
    <t>サービス概要</t>
  </si>
  <si>
    <t>成果報酬型の顧問サービス。「エキスパートハブ」</t>
  </si>
  <si>
    <t>顧問（エグゼクティブOB）を活用し、商談獲得をはじめとする企業の経営課題を解決するサービス 。顧問の経験・知見と、Saleshubが持つ5万人超のサポーターネットワークを組み合わせて活用できる 。</t>
  </si>
  <si>
    <t>サービスのビジネスモデル</t>
  </si>
  <si>
    <t>成果報酬型</t>
  </si>
  <si>
    <t>経験豊富な顧問（元役員クラス）と、課題を持つ企業をマッチング 。顧問は戦略立案や商談同行（同席）等のサポートを実施し、アポイント獲得は主に5万人以上のサポーターネットワークが担う 。</t>
  </si>
  <si>
    <t>サービスの強み</t>
  </si>
  <si>
    <t>成果報酬型のため低リスクに利用できる。・業界特有のノウハウを持った顧問を味方に販路開拓できる。・商談獲得にとどまらず、経営課題（ノウハウ提供、営業組織強化、採用強化、コスト削減など）もカバーする。</t>
  </si>
  <si>
    <t>* 低価格: 業界平均の半額以下の価格で顧問活用が可能 。* 成果報酬: アポイント獲得に対して成果報酬が発生する明瞭な料金体系 。* 柔軟な契約: 契約期間の縛りがなく、月額更新でいつでも解約可能（違約金なし）。* 人脈の枯渇回避: 顧問自身のネットワークだけでなく、5万人超のSaleshubネットワークを併用できる 。</t>
  </si>
  <si>
    <t>他社との違い</t>
  </si>
  <si>
    <t>成果報酬型であること（従来の顧問サービスとの違い）</t>
  </si>
  <si>
    <t>一般的な顧問サービスは月額固定費用が高額で、アポ獲得の有無に関わらず費用が発生するが 、エキスパートハブは低額の固定費に抑え、アポイント獲得ごとに成果報酬を支払うシステム 。また、独自システム（特許取得済み）により公平性の高い支払い体系（企業規模・役職に応じたアポ単価）を実現している 。</t>
  </si>
  <si>
    <t>料金プラン・料金形態</t>
  </si>
  <si>
    <t>月額15万円〜（税抜）</t>
  </si>
  <si>
    <t>月額料金: ¥150,000～（税別）成果報酬: サポーターからの商談獲得1件ごと（企業規模・役職に応じて変動）</t>
  </si>
  <si>
    <t>初期費用有無</t>
  </si>
  <si>
    <t>無料で貴社に合った顧問を提案</t>
  </si>
  <si>
    <t>有り 。 初期セットアップ料金：¥500,000（税別）。</t>
  </si>
  <si>
    <t>最低料金</t>
  </si>
  <si>
    <t>月額 ¥150,000（税別）。</t>
  </si>
  <si>
    <t>最短契約期間</t>
  </si>
  <si>
    <t>※情報なし</t>
  </si>
  <si>
    <t>制限なし。 月額での契約更新となり、違約金なしで前月申告によりいつでも解約が可能。</t>
  </si>
  <si>
    <t>競合企業、類似サービス</t>
  </si>
  <si>
    <t>従来の顧問サービス</t>
  </si>
  <si>
    <t>一般的な顧問サービス 、および動画内では「ビジネスタンク」などの名称も挙がっている。</t>
  </si>
  <si>
    <t>一般的な顧問サービス 、「ビジネスタンク」などの名称も挙がっている。</t>
  </si>
  <si>
    <t>顧問、会員登録人数</t>
  </si>
  <si>
    <t>顧問を味方に「あの企業・あの業界」を攻略したい方と、全国5万人からの紹介によって商談を獲得したい方向けのサービスがある。</t>
  </si>
  <si>
    <t>登録顧問の例: KDDI元取締役、明治安田生命元取締役、オリックス元取締役、キヤノン元本部長、リクルート元営業部長、JTB元企画部長など、上場企業の役員・管理職経験者が多数参画 。会員登録人数: 顧客紹介サービス「Saleshub」のネットワークとして、全国に5万人以上のビジネスパーソンが登録 。</t>
  </si>
  <si>
    <t>依頼業務内容</t>
  </si>
  <si>
    <t>新商品の販売先開拓、ノウハウ提供、営業組織強化、採用強化、コスト削減など</t>
  </si>
  <si>
    <t>営業ニーズ以外にも幅広く対応 。新規販路開拓 、既存顧客深耕 、営業組織強化 、新卒/中途採用 、商品開発 、資金調達 、店舗開発 など 。</t>
  </si>
  <si>
    <t>導入実績</t>
  </si>
  <si>
    <t>飲料メーカーの健康ドリンクの販路開拓支援（取り組みから1ヶ月で20件を超えるサロンやイベント会社などへの認知拡大）</t>
  </si>
  <si>
    <t>* 外食産業への販路開拓（こんにゃく製造業）： すかいらーくグループ含む外食企業3社と年間¥6,000万円の取引が実現 。* 集客増加（お土産物小売）： JTB含む2社の代理店でツアーが決定し、年間¥8,000万円の売上増加 。* ヒット商品開発（製造業）： 初年度から製造業8社と年間¥1.6億円の取引が実現 。</t>
  </si>
  <si>
    <t>【全体統括コメント】</t>
  </si>
  <si>
    <t>(今回はロープレのため商談前後、クロージングは評価外としています)
他顧問サービスの商談と比較しても、受身的・御用聞きの営業ではなく、積極的・ソリューション型の営業ができている点は高く評価でき、他社と優位性がつけられるポイントかと思います。
その点では、『ニーズが顕在化されている企業』だけではなく、『ニーズが潜在的だが顧問サービスに可能性を感じている企業』についても成約確度を高められる点は商談の強さと認識いただいて良いと思いました。
料金についての納得度については、まだ不十分な点がありました。それが「初期費用の納得度」です。言い換えるならば「初期費用をどう説明するか？」です。
今回の商談の進め方においては、早い段階で料金を訴求しており、「初期費用が50万かかる（＝高い、意味が分からない）」という点が頭にセットされた段階で商談受け側は提案を聞くことになります。
この点で、初期費用50万という納得度が得られない状態で行われる提案に対してかなり期待値があがってしまいます。しかしその期待値を超えることは普通はむずかしいため
期待値を下回ったという事実だけが残り、社内検討になってしまうことが頻発すると予想されます。
であれば、①料金説明は後半の相手の購買意欲が上がったタイミングで行う　②初期費用の納得度を深めるトークを準備する　の2点は実施されたほうが良いと思いました。
サービスの訴求という観点においては、SaaSとは違い、【解像度が上がりきらない人材情報】×【本当に動いて、結果を出してくれるかわからない】という2大要素がぬぐい切れません。
その点を解決するには、数値や事例を用いた具体性のある提案です。「直観的にメリットを感じられる商談」が最高の商談かと思いますが、そのレベルの訴求を目指していくのが良いのではと思いました。</t>
  </si>
  <si>
    <t>チェックプロセス</t>
  </si>
  <si>
    <t>NO</t>
  </si>
  <si>
    <t xml:space="preserve"> 評価</t>
  </si>
  <si>
    <t>点数</t>
  </si>
  <si>
    <t>基準</t>
  </si>
  <si>
    <t>備考</t>
  </si>
  <si>
    <t>商談前</t>
  </si>
  <si>
    <t>商談前
IS</t>
  </si>
  <si>
    <t>速度</t>
  </si>
  <si>
    <t>HP問い合わせに対してのレスポンス速度</t>
  </si>
  <si>
    <t>〇：6時間以内
△：24時間以内
✕：24時間以上</t>
  </si>
  <si>
    <t>24時間以上の場合は記載</t>
  </si>
  <si>
    <t>商談前段階における連絡の基本的な返信速度（平均）</t>
  </si>
  <si>
    <t>メールでのラリー回数は少なく、スムーズに日程調整ができた。</t>
  </si>
  <si>
    <t>〇：ラリー回数1~2
△：ラリー回数2~3
✕：3往復以上のラリー</t>
  </si>
  <si>
    <t>✕の具体的内容↓</t>
  </si>
  <si>
    <t>丁寧さ</t>
  </si>
  <si>
    <t>問い合わせに対しての返信はテンプレートではなく自社に合わせた形での連絡だったか。</t>
  </si>
  <si>
    <t>〇：自社に合わせた返信
✕：テンプレートと判断できる</t>
  </si>
  <si>
    <t>メールの文面は言葉遣いが丁寧で、誤字脱字がなく、不快感や違和感を感じるところはなかったか。</t>
  </si>
  <si>
    <t>〇：一切懸念なし
△：若干の懸念を感じる
✕：違和感、懸念を強く感じる</t>
  </si>
  <si>
    <t>△✕の具体的内容↓</t>
  </si>
  <si>
    <t>メールで記載されていた候補日時はスケジューラーURLではなくテキストで送ってきた。</t>
  </si>
  <si>
    <t>〇：テキストのみ候補日程多
△：テキストのみ候補日程少
✕：スケジューラー添付のみ</t>
  </si>
  <si>
    <t>メールで事前に資料が共有された。</t>
  </si>
  <si>
    <t>〇：2つ以上の共有あり
△：1つのみ共有有
✕：共有なし</t>
  </si>
  <si>
    <t>事前資料の内容↓</t>
  </si>
  <si>
    <t>仕組み</t>
  </si>
  <si>
    <t>メールでの連絡を希望していたにも関わらず電話をかけていないか</t>
  </si>
  <si>
    <t>〇：希望通りメールで連携
△：電話をかけてきた。
✕：電話を繰り返しかけてきた。</t>
  </si>
  <si>
    <t>メールに事前質問は記載されていたか？</t>
  </si>
  <si>
    <t>〇：3つ以上の質問記載
△：～3つ以内の質問記載
✕：質問記載なし</t>
  </si>
  <si>
    <t>事前質問内容添付↓</t>
  </si>
  <si>
    <t>商談前のリマインド連絡があった。</t>
  </si>
  <si>
    <t>〇：前日と当日リマインド
△：当日リマインド
✕：リマインドなし</t>
  </si>
  <si>
    <t>タイミング↓</t>
  </si>
  <si>
    <t>商談</t>
  </si>
  <si>
    <t>オンライン環境</t>
  </si>
  <si>
    <t>wifiなど、通信環境は安定しているか？(遅延△、切断×)</t>
  </si>
  <si>
    <t>〇</t>
  </si>
  <si>
    <t>オンラインの入室はオンタイムで参加したか？</t>
  </si>
  <si>
    <t>〇：オンタイム1~3分前
△：オンタイム
✕：遅刻</t>
  </si>
  <si>
    <t>カメラに映る背景は適切か？</t>
  </si>
  <si>
    <t>〇：背景画像利用あり
△：背景画像無、オフィス内
✕：ビジネスシーンに不適切な背景</t>
  </si>
  <si>
    <t>音声は遠く聞こえたりハウリングすることなくクリアに聞こえているか？</t>
  </si>
  <si>
    <t>騒音・雑音が横から聞こえないか？</t>
  </si>
  <si>
    <t>自分の顔が明るく見える照明の明るさか？</t>
  </si>
  <si>
    <t>生首状態や顔が見切れるなど、画角は問題ないか？</t>
  </si>
  <si>
    <t>資料の画面共有に時間を要していないか？</t>
  </si>
  <si>
    <t>外見</t>
  </si>
  <si>
    <t>ビジネスシーンに合わせた服装をしているか？（スーツ、ジャケット）</t>
  </si>
  <si>
    <t>△</t>
  </si>
  <si>
    <t>過度なアクセサリーはつけていないか？</t>
  </si>
  <si>
    <t>髪は清潔か？</t>
  </si>
  <si>
    <t>ひげは剃っているか？or 適度な化粧はしているか？</t>
  </si>
  <si>
    <t>姿勢は崩れていないか？</t>
  </si>
  <si>
    <t>自己紹介資料の準備はあったか？</t>
  </si>
  <si>
    <t>✕</t>
  </si>
  <si>
    <t>資料のデザインは洗練されているか？</t>
  </si>
  <si>
    <t>パワーポイントのテンプレートや一般的なデザインフォーマットを使用したものではないか？</t>
  </si>
  <si>
    <t>資料</t>
  </si>
  <si>
    <t>画面共有された状態で文字が読みやすいような大きさになっているか？</t>
  </si>
  <si>
    <t>会社ごとにあわせた提案資料を用意しているか？</t>
  </si>
  <si>
    <t>料金プランの内容は理解しやすく、誤認が発生しない内容か？</t>
  </si>
  <si>
    <t>サービス提供フローはスケジュール感も含めて明確に記載されているか？</t>
  </si>
  <si>
    <t>資料に事例が記載されているか？</t>
  </si>
  <si>
    <t>具体的な数字をもとに費用対効果や価値が記載されているか？</t>
  </si>
  <si>
    <t>非言語</t>
  </si>
  <si>
    <t>自然に笑顔をつくっているか？</t>
  </si>
  <si>
    <t>褒める言葉を気後れせずに伝えられているか？</t>
  </si>
  <si>
    <t>声の大きさは大きいか？</t>
  </si>
  <si>
    <t>話す速度は営業先に合わせているか？</t>
  </si>
  <si>
    <t>声の抑揚はあるか？</t>
  </si>
  <si>
    <t>身振り手振りを行っているか？</t>
  </si>
  <si>
    <t>相手が話していることに相づちを打ったり、頷きはあるか？(多少、大げさでもOK)</t>
  </si>
  <si>
    <t>伝えたいポイントをカーソルやペンでなぞっているか？</t>
  </si>
  <si>
    <t>不快感を持たないか？(説明、対応、返答など)</t>
  </si>
  <si>
    <t>言動や対応に違和感・不審感は無いか？</t>
  </si>
  <si>
    <t>ペンで書いた文字はきれいか？</t>
  </si>
  <si>
    <t>画面にたいして、正面を向いているか？</t>
  </si>
  <si>
    <t>相手への理解度</t>
  </si>
  <si>
    <t>相手の業界の知識を持ち合わせているか？この人はわかっている！と思えるか？</t>
  </si>
  <si>
    <t>相手の商材について、イメージを持っているか？近しい業界の事例などを伝えられているか？</t>
  </si>
  <si>
    <t>ビジネスモデルの理解ができているか？キャッシュポイントなどを認識して、仮説を伝えているか？</t>
  </si>
  <si>
    <t>表情</t>
  </si>
  <si>
    <t>沈黙に不安な顔をしていないか</t>
  </si>
  <si>
    <t>相手におびえていないか？</t>
  </si>
  <si>
    <t>自社からの質問にイライラしていないか？不快感を顔に出していないか？</t>
  </si>
  <si>
    <t>言動</t>
  </si>
  <si>
    <t>○○社長/代表/様と呼んでいるか</t>
  </si>
  <si>
    <t>貢献できます。など断言ができているか？※嘘はNG</t>
  </si>
  <si>
    <t>沈黙のアテンションがあるか？</t>
  </si>
  <si>
    <t>気遣い</t>
  </si>
  <si>
    <t>咳をするときや、相手の話をしっかり聞きたいときにマイクオフにするといった気配りがあるか？</t>
  </si>
  <si>
    <t>リレーションは築けているか？(最後に雑談等)</t>
  </si>
  <si>
    <t>最後に大きな声で御礼が言えているか？</t>
  </si>
  <si>
    <t>向こうが画面を切るまで待っているか？</t>
  </si>
  <si>
    <t xml:space="preserve">商談対応力
</t>
  </si>
  <si>
    <t>冒頭</t>
  </si>
  <si>
    <t>冒頭大きな声でさわやかに挨拶できているか？</t>
  </si>
  <si>
    <t>音声の聞こえ方やカメラ画面の見え方に違和感などがないか確認しているか？</t>
  </si>
  <si>
    <t>いきなり質問から始めるのではなく商談の方向性や流れを明確にしてからスタートしているか？</t>
  </si>
  <si>
    <t>商談担当者の自己紹介は行っているか？</t>
  </si>
  <si>
    <t>打ち合わせのタイムスケジュール感を冒頭ですり合わせているか？</t>
  </si>
  <si>
    <t>質問</t>
  </si>
  <si>
    <t>商談をされる側が不快感を示すような一方的な質問責めをしていないか？</t>
  </si>
  <si>
    <t>HPや事前情報を調べれば把握できるような質問をしていないか？</t>
  </si>
  <si>
    <t>質問に回答した後の相槌や反応はしているか？</t>
  </si>
  <si>
    <t>質問に回答した後のメモに時間を要して沈黙の時間を生んでいないか？</t>
  </si>
  <si>
    <t>質問回答後に「ありがとうございます」と御礼を伝えているか？</t>
  </si>
  <si>
    <t>サービス説明</t>
  </si>
  <si>
    <t>自社の会社概要について話しているか？</t>
  </si>
  <si>
    <t>提供するサービスのビジネスモデルを分かりやすく簡潔に話しているか？</t>
  </si>
  <si>
    <t>ビジネスモデルは企業HP記載の内容と一致しているか？(虚偽、誇大記載はしていないか？)</t>
  </si>
  <si>
    <t>他社との違いや優位性について触れているか？</t>
  </si>
  <si>
    <t>事例共有は営業を受ける側に近い事例を準備し、説明しているか？</t>
  </si>
  <si>
    <t>具体的な数値効果について仮説を交えながらわかりやすく説明しているか？</t>
  </si>
  <si>
    <t>一方的なサービス説明に終始するのではなく、中間で質疑応答の時間を設けているか？</t>
  </si>
  <si>
    <t>サービスフローはスケジュール感を交えて説明できているか？</t>
  </si>
  <si>
    <t>料金プランは一部を切り出して説明するのではなく、全体でかかる費用を網羅的に説明できているか？</t>
  </si>
  <si>
    <t>リスクやデメリットについても説明しているか？</t>
  </si>
  <si>
    <t>営業を受けている側のニーズに合わせた提案を行っているか？</t>
  </si>
  <si>
    <t>質問に対して結論ファーストで簡潔に回答できているか？</t>
  </si>
  <si>
    <t>自社・他社情報を共有する際には情報セキュリティに十分に配慮できているか？</t>
  </si>
  <si>
    <t>管理画面などを見せていたらＮＧ</t>
  </si>
  <si>
    <t>クロージング</t>
  </si>
  <si>
    <t>BANT情報を聞けているか？</t>
  </si>
  <si>
    <t xml:space="preserve">https://www.wawaoffice.jp/wawawork/bant/  </t>
  </si>
  <si>
    <t>導入に向けた懸念点を聞き出しているか？（テストクロージング）</t>
  </si>
  <si>
    <t>金額懸念に対しての交渉に応じる姿勢は見せているか？</t>
  </si>
  <si>
    <t>ネクストアクションの提案やすり合わせを行っているか？</t>
  </si>
  <si>
    <t>決裁者を交えた次回打ち合わせ日程調整の打診を行っているか？</t>
  </si>
  <si>
    <t>検討期限を区切っているか？</t>
  </si>
  <si>
    <t>金額に対しての価値が伝わっており、価格に対しい安いと思える価値訴求ができているか？</t>
  </si>
  <si>
    <t>強引なクロージングで終えるのではなく気分の良い終話だったか</t>
  </si>
  <si>
    <t>商談後</t>
  </si>
  <si>
    <t>商談後対応</t>
  </si>
  <si>
    <t>商談後のサンクスメールは最速で送られてきたか？</t>
  </si>
  <si>
    <t>サンクスメールは商談企業ごとに内容を合わせて送っているか？</t>
  </si>
  <si>
    <t>商談後に追加質問を送った後の回答返信速度</t>
  </si>
  <si>
    <t>商談で区切った検討期限日時にフォローの連絡があったか</t>
  </si>
  <si>
    <t>営業資料だけではなく事例や提案資料など検討材料になりえる資料の共有があったか</t>
  </si>
  <si>
    <t>全体評価</t>
  </si>
  <si>
    <t>会社自体に信頼性を感じることができたか？</t>
  </si>
  <si>
    <t>サービス自体に信頼性を持てると感じることはできたか？</t>
  </si>
  <si>
    <t>営業マンの対応は正直かつ誠実で好印象を持つことはできたか？</t>
  </si>
  <si>
    <t>相手の立場にたった商談だったと評価することはできるか？</t>
  </si>
  <si>
    <t>サービス内容はわかりやすく、商談の時間で理解しきることはできたか？</t>
  </si>
  <si>
    <t>営業代行会社への発注をしている企業に勧めたいと思えたか？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</si>
</sst>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quot;点&quot;"/>
  </numFmts>
  <fonts count="32">
    <font>
      <sz val="10"/>
      <color rgb="FF000000"/>
      <name val="Arial"/>
      <scheme val="minor"/>
    </font>
    <font>
      <b/>
      <sz val="13"/>
      <color rgb="FF000000"/>
      <name val="Arial"/>
      <family val="2"/>
    </font>
    <font>
      <sz val="10"/>
      <color rgb="FF000000"/>
      <name val="Arial"/>
      <family val="2"/>
    </font>
    <font>
      <sz val="10"/>
      <color rgb="FF000000"/>
      <name val="&quot;Meiryo UI&quot;"/>
    </font>
    <font>
      <sz val="10"/>
      <color rgb="FFFFFFFF"/>
      <name val="&quot;Meiryo UI&quot;"/>
    </font>
    <font>
      <b/>
      <sz val="14"/>
      <color theme="1"/>
      <name val="Arial"/>
      <family val="2"/>
      <scheme val="minor"/>
    </font>
    <font>
      <b/>
      <sz val="10"/>
      <color rgb="FF000000"/>
      <name val="Arial"/>
      <family val="2"/>
    </font>
    <font>
      <sz val="10"/>
      <color rgb="FFFFFFFF"/>
      <name val="Arial"/>
      <family val="2"/>
    </font>
    <font>
      <sz val="10"/>
      <color rgb="FF000000"/>
      <name val="Arial"/>
      <family val="2"/>
      <scheme val="minor"/>
    </font>
    <font>
      <u/>
      <sz val="10"/>
      <color rgb="FF000000"/>
      <name val="Arial"/>
      <family val="2"/>
    </font>
    <font>
      <sz val="10"/>
      <color rgb="FFFFFFFF"/>
      <name val="Arial"/>
      <family val="2"/>
      <scheme val="minor"/>
    </font>
    <font>
      <b/>
      <sz val="10"/>
      <color rgb="FF000000"/>
      <name val="Arial"/>
      <family val="2"/>
      <scheme val="minor"/>
    </font>
    <font>
      <u/>
      <sz val="10"/>
      <color rgb="FF0000FF"/>
      <name val="Arial"/>
      <family val="2"/>
    </font>
    <font>
      <b/>
      <sz val="10"/>
      <color theme="1"/>
      <name val="Arial"/>
      <family val="2"/>
      <scheme val="minor"/>
    </font>
    <font>
      <u/>
      <sz val="10"/>
      <color theme="1"/>
      <name val="Arial"/>
      <family val="2"/>
    </font>
    <font>
      <b/>
      <sz val="12"/>
      <color theme="0"/>
      <name val="Arial"/>
      <family val="2"/>
      <scheme val="minor"/>
    </font>
    <font>
      <b/>
      <sz val="18"/>
      <color rgb="FF000000"/>
      <name val="Arial"/>
      <family val="2"/>
    </font>
    <font>
      <sz val="10"/>
      <color theme="1"/>
      <name val="Arial"/>
      <family val="2"/>
      <scheme val="minor"/>
    </font>
    <font>
      <b/>
      <sz val="10"/>
      <color theme="0"/>
      <name val="&quot;Meiryo UI&quot;"/>
    </font>
    <font>
      <b/>
      <sz val="10"/>
      <color rgb="FFFFFFFF"/>
      <name val="Arial"/>
      <family val="2"/>
    </font>
    <font>
      <sz val="10"/>
      <color theme="1"/>
      <name val="Arial"/>
      <family val="2"/>
    </font>
    <font>
      <b/>
      <sz val="10"/>
      <color rgb="FFFFFFFF"/>
      <name val="&quot;Meiryo UI&quot;"/>
    </font>
    <font>
      <b/>
      <sz val="8"/>
      <color theme="0"/>
      <name val="Arial"/>
      <family val="2"/>
    </font>
    <font>
      <sz val="10"/>
      <color rgb="FFFFFFFF"/>
      <name val="Arial"/>
      <family val="2"/>
    </font>
    <font>
      <b/>
      <sz val="10"/>
      <color theme="0"/>
      <name val="Arial"/>
      <family val="2"/>
    </font>
    <font>
      <b/>
      <sz val="24"/>
      <color rgb="FF000000"/>
      <name val="Arial"/>
      <family val="2"/>
    </font>
    <font>
      <b/>
      <sz val="12"/>
      <color rgb="FF000000"/>
      <name val="Arial"/>
      <family val="2"/>
    </font>
    <font>
      <b/>
      <sz val="17"/>
      <color rgb="FFFFFFFF"/>
      <name val="Arial"/>
      <family val="2"/>
    </font>
    <font>
      <b/>
      <sz val="11"/>
      <color rgb="FF000000"/>
      <name val="Arial"/>
      <family val="2"/>
    </font>
    <font>
      <u/>
      <sz val="10"/>
      <color rgb="FF000000"/>
      <name val="Arial"/>
      <family val="2"/>
    </font>
    <font>
      <sz val="6"/>
      <name val="Arial"/>
      <family val="3"/>
      <charset val="128"/>
      <scheme val="minor"/>
    </font>
    <font>
      <sz val="10"/>
      <color rgb="FF000000"/>
      <name val="MS Gothic"/>
      <family val="2"/>
      <charset val="128"/>
    </font>
  </fonts>
  <fills count="15">
    <fill>
      <patternFill patternType="none"/>
    </fill>
    <fill>
      <patternFill patternType="gray125"/>
    </fill>
    <fill>
      <patternFill patternType="solid">
        <fgColor rgb="FFD9D9D9"/>
        <bgColor rgb="FFD9D9D9"/>
      </patternFill>
    </fill>
    <fill>
      <patternFill patternType="solid">
        <fgColor rgb="FFF4CCCC"/>
        <bgColor rgb="FFF4CCCC"/>
      </patternFill>
    </fill>
    <fill>
      <patternFill patternType="solid">
        <fgColor rgb="FF000000"/>
        <bgColor rgb="FF000000"/>
      </patternFill>
    </fill>
    <fill>
      <patternFill patternType="solid">
        <fgColor rgb="FFD9D2E9"/>
        <bgColor rgb="FFD9D2E9"/>
      </patternFill>
    </fill>
    <fill>
      <patternFill patternType="solid">
        <fgColor rgb="FF999999"/>
        <bgColor rgb="FF999999"/>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9CB9C"/>
        <bgColor rgb="FFF9CB9C"/>
      </patternFill>
    </fill>
    <fill>
      <patternFill patternType="solid">
        <fgColor rgb="FFFCE5CD"/>
        <bgColor rgb="FFFCE5CD"/>
      </patternFill>
    </fill>
    <fill>
      <patternFill patternType="solid">
        <fgColor rgb="FFEA9999"/>
        <bgColor rgb="FFEA9999"/>
      </patternFill>
    </fill>
    <fill>
      <patternFill patternType="solid">
        <fgColor rgb="FFB6D7A8"/>
        <bgColor rgb="FFB6D7A8"/>
      </patternFill>
    </fill>
  </fills>
  <borders count="64">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ck">
        <color rgb="FF000000"/>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bottom style="dotted">
        <color rgb="FF000000"/>
      </bottom>
      <diagonal/>
    </border>
    <border>
      <left style="thick">
        <color rgb="FF000000"/>
      </left>
      <right style="thick">
        <color rgb="FF000000"/>
      </right>
      <top style="dotted">
        <color rgb="FF000000"/>
      </top>
      <bottom style="dotted">
        <color rgb="FF000000"/>
      </bottom>
      <diagonal/>
    </border>
    <border>
      <left style="thick">
        <color rgb="FF000000"/>
      </left>
      <right style="thick">
        <color rgb="FF000000"/>
      </right>
      <top style="dotted">
        <color rgb="FF000000"/>
      </top>
      <bottom style="thick">
        <color rgb="FF000000"/>
      </bottom>
      <diagonal/>
    </border>
    <border>
      <left style="thin">
        <color rgb="FF999999"/>
      </left>
      <right/>
      <top style="thin">
        <color rgb="FF999999"/>
      </top>
      <bottom/>
      <diagonal/>
    </border>
    <border>
      <left/>
      <right/>
      <top style="thin">
        <color rgb="FF999999"/>
      </top>
      <bottom/>
      <diagonal/>
    </border>
    <border>
      <left/>
      <right style="thin">
        <color rgb="FF999999"/>
      </right>
      <top style="thin">
        <color rgb="FF999999"/>
      </top>
      <bottom/>
      <diagonal/>
    </border>
    <border>
      <left style="thin">
        <color rgb="FF999999"/>
      </left>
      <right/>
      <top/>
      <bottom/>
      <diagonal/>
    </border>
    <border>
      <left/>
      <right style="thin">
        <color rgb="FF999999"/>
      </right>
      <top/>
      <bottom/>
      <diagonal/>
    </border>
    <border>
      <left style="thin">
        <color rgb="FF999999"/>
      </left>
      <right/>
      <top/>
      <bottom style="thin">
        <color rgb="FF999999"/>
      </bottom>
      <diagonal/>
    </border>
    <border>
      <left/>
      <right/>
      <top/>
      <bottom style="thin">
        <color rgb="FF999999"/>
      </bottom>
      <diagonal/>
    </border>
    <border>
      <left/>
      <right style="thin">
        <color rgb="FF999999"/>
      </right>
      <top/>
      <bottom style="thin">
        <color rgb="FF999999"/>
      </bottom>
      <diagonal/>
    </border>
    <border>
      <left/>
      <right/>
      <top style="thick">
        <color rgb="FF000000"/>
      </top>
      <bottom/>
      <diagonal/>
    </border>
    <border>
      <left/>
      <right style="thick">
        <color rgb="FF000000"/>
      </right>
      <top style="thick">
        <color rgb="FF000000"/>
      </top>
      <bottom/>
      <diagonal/>
    </border>
    <border>
      <left/>
      <right style="medium">
        <color rgb="FF000000"/>
      </right>
      <top style="medium">
        <color rgb="FF000000"/>
      </top>
      <bottom/>
      <diagonal/>
    </border>
    <border>
      <left/>
      <right/>
      <top style="medium">
        <color rgb="FF000000"/>
      </top>
      <bottom/>
      <diagonal/>
    </border>
    <border>
      <left/>
      <right style="thick">
        <color rgb="FF000000"/>
      </right>
      <top style="medium">
        <color rgb="FF000000"/>
      </top>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thick">
        <color rgb="FF000000"/>
      </right>
      <top style="medium">
        <color rgb="FF000000"/>
      </top>
      <bottom style="medium">
        <color rgb="FF000000"/>
      </bottom>
      <diagonal/>
    </border>
    <border>
      <left/>
      <right style="thin">
        <color rgb="FF000000"/>
      </right>
      <top style="medium">
        <color rgb="FF000000"/>
      </top>
      <bottom style="dotted">
        <color rgb="FF000000"/>
      </bottom>
      <diagonal/>
    </border>
    <border>
      <left/>
      <right/>
      <top style="medium">
        <color rgb="FF000000"/>
      </top>
      <bottom style="dotted">
        <color rgb="FF000000"/>
      </bottom>
      <diagonal/>
    </border>
    <border>
      <left/>
      <right style="thick">
        <color rgb="FF000000"/>
      </right>
      <top style="medium">
        <color rgb="FF000000"/>
      </top>
      <bottom style="dotted">
        <color rgb="FF000000"/>
      </bottom>
      <diagonal/>
    </border>
    <border>
      <left/>
      <right style="thin">
        <color rgb="FF000000"/>
      </right>
      <top style="dotted">
        <color rgb="FF000000"/>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style="thin">
        <color rgb="FF000000"/>
      </right>
      <top style="dotted">
        <color rgb="FF000000"/>
      </top>
      <bottom style="thick">
        <color rgb="FF000000"/>
      </bottom>
      <diagonal/>
    </border>
    <border>
      <left/>
      <right/>
      <top style="dotted">
        <color rgb="FF000000"/>
      </top>
      <bottom style="thick">
        <color rgb="FF000000"/>
      </bottom>
      <diagonal/>
    </border>
    <border>
      <left/>
      <right style="thick">
        <color rgb="FF000000"/>
      </right>
      <top style="dotted">
        <color rgb="FF000000"/>
      </top>
      <bottom style="thick">
        <color rgb="FF000000"/>
      </bottom>
      <diagonal/>
    </border>
    <border>
      <left/>
      <right/>
      <top/>
      <bottom style="thick">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999999"/>
      </left>
      <right style="thin">
        <color rgb="FF999999"/>
      </right>
      <top style="thin">
        <color rgb="FF999999"/>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999999"/>
      </left>
      <right style="thin">
        <color rgb="FF000000"/>
      </right>
      <top style="thin">
        <color rgb="FF999999"/>
      </top>
      <bottom style="thin">
        <color rgb="FF000000"/>
      </bottom>
      <diagonal/>
    </border>
    <border>
      <left style="thin">
        <color rgb="FF000000"/>
      </left>
      <right style="thin">
        <color rgb="FF999999"/>
      </right>
      <top style="thin">
        <color rgb="FF999999"/>
      </top>
      <bottom style="thin">
        <color rgb="FF000000"/>
      </bottom>
      <diagonal/>
    </border>
    <border>
      <left style="thin">
        <color rgb="FF999999"/>
      </left>
      <right style="thin">
        <color rgb="FF000000"/>
      </right>
      <top style="thin">
        <color rgb="FF000000"/>
      </top>
      <bottom style="thin">
        <color rgb="FF000000"/>
      </bottom>
      <diagonal/>
    </border>
    <border>
      <left style="thin">
        <color rgb="FF000000"/>
      </left>
      <right style="thin">
        <color rgb="FF999999"/>
      </right>
      <top style="thin">
        <color rgb="FF000000"/>
      </top>
      <bottom style="thin">
        <color rgb="FF000000"/>
      </bottom>
      <diagonal/>
    </border>
    <border>
      <left style="thin">
        <color rgb="FF999999"/>
      </left>
      <right style="thin">
        <color rgb="FF000000"/>
      </right>
      <top style="thin">
        <color rgb="FF000000"/>
      </top>
      <bottom/>
      <diagonal/>
    </border>
    <border>
      <left style="thin">
        <color rgb="FF000000"/>
      </left>
      <right style="thin">
        <color rgb="FF999999"/>
      </right>
      <top style="thin">
        <color rgb="FF000000"/>
      </top>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diagonal/>
    </border>
    <border>
      <left style="thin">
        <color rgb="FF999999"/>
      </left>
      <right style="thin">
        <color rgb="FF999999"/>
      </right>
      <top/>
      <bottom style="thin">
        <color rgb="FF999999"/>
      </bottom>
      <diagonal/>
    </border>
    <border>
      <left style="thick">
        <color rgb="FF000000"/>
      </left>
      <right style="thin">
        <color rgb="FF000000"/>
      </right>
      <top style="dotted">
        <color rgb="FF000000"/>
      </top>
      <bottom style="dotted">
        <color rgb="FF000000"/>
      </bottom>
      <diagonal/>
    </border>
    <border>
      <left style="thick">
        <color rgb="FF000000"/>
      </left>
      <right style="thick">
        <color rgb="FF000000"/>
      </right>
      <top style="thick">
        <color rgb="FF000000"/>
      </top>
      <bottom style="thick">
        <color rgb="FF000000"/>
      </bottom>
      <diagonal/>
    </border>
    <border>
      <left style="thick">
        <color rgb="FF000000"/>
      </left>
      <right style="thick">
        <color rgb="FF000000"/>
      </right>
      <top style="thick">
        <color rgb="FF000000"/>
      </top>
      <bottom/>
      <diagonal/>
    </border>
    <border>
      <left style="thick">
        <color rgb="FF000000"/>
      </left>
      <right style="medium">
        <color rgb="FF000000"/>
      </right>
      <top style="medium">
        <color rgb="FF000000"/>
      </top>
      <bottom/>
      <diagonal/>
    </border>
    <border>
      <left style="medium">
        <color rgb="FF000000"/>
      </left>
      <right style="thick">
        <color rgb="FF000000"/>
      </right>
      <top style="medium">
        <color rgb="FF000000"/>
      </top>
      <bottom style="medium">
        <color rgb="FF000000"/>
      </bottom>
      <diagonal/>
    </border>
    <border>
      <left style="medium">
        <color rgb="FF000000"/>
      </left>
      <right style="thick">
        <color rgb="FF000000"/>
      </right>
      <top style="medium">
        <color rgb="FF000000"/>
      </top>
      <bottom/>
      <diagonal/>
    </border>
    <border>
      <left style="thick">
        <color rgb="FF000000"/>
      </left>
      <right style="medium">
        <color rgb="FF000000"/>
      </right>
      <top style="medium">
        <color rgb="FF000000"/>
      </top>
      <bottom style="medium">
        <color rgb="FF000000"/>
      </bottom>
      <diagonal/>
    </border>
    <border>
      <left style="thick">
        <color rgb="FF000000"/>
      </left>
      <right style="thin">
        <color rgb="FF000000"/>
      </right>
      <top style="medium">
        <color rgb="FF000000"/>
      </top>
      <bottom style="dotted">
        <color rgb="FF000000"/>
      </bottom>
      <diagonal/>
    </border>
    <border>
      <left style="thick">
        <color rgb="FF000000"/>
      </left>
      <right style="thin">
        <color rgb="FF000000"/>
      </right>
      <top style="dotted">
        <color rgb="FF000000"/>
      </top>
      <bottom style="thick">
        <color rgb="FF000000"/>
      </bottom>
      <diagonal/>
    </border>
  </borders>
  <cellStyleXfs count="1">
    <xf numFmtId="0" fontId="0" fillId="0" borderId="0"/>
  </cellStyleXfs>
  <cellXfs count="158">
    <xf numFmtId="0" fontId="0" fillId="0" borderId="0" xfId="0"/>
    <xf numFmtId="0" fontId="1" fillId="2" borderId="1" xfId="0" applyFont="1" applyFill="1" applyBorder="1" applyAlignment="1">
      <alignment horizontal="right" vertical="center"/>
    </xf>
    <xf numFmtId="0" fontId="3" fillId="0" borderId="0" xfId="0" applyFont="1" applyAlignment="1">
      <alignment horizontal="center" vertical="center"/>
    </xf>
    <xf numFmtId="0" fontId="4" fillId="0" borderId="0" xfId="0" applyFont="1" applyAlignment="1">
      <alignment horizontal="center" vertical="center"/>
    </xf>
    <xf numFmtId="0" fontId="6" fillId="2" borderId="1" xfId="0" applyFont="1" applyFill="1" applyBorder="1" applyAlignment="1">
      <alignment horizontal="right" vertical="center"/>
    </xf>
    <xf numFmtId="0" fontId="7" fillId="0" borderId="0" xfId="0" applyFont="1" applyAlignment="1">
      <alignment horizontal="right" vertical="center"/>
    </xf>
    <xf numFmtId="0" fontId="8" fillId="0" borderId="0" xfId="0" applyFont="1" applyAlignment="1">
      <alignment horizontal="center" vertical="center"/>
    </xf>
    <xf numFmtId="176" fontId="3" fillId="0" borderId="0" xfId="0" applyNumberFormat="1" applyFont="1" applyAlignment="1">
      <alignment horizontal="center" vertical="center"/>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176" fontId="2" fillId="0" borderId="0" xfId="0" applyNumberFormat="1" applyFont="1" applyAlignment="1">
      <alignment horizontal="center" vertical="center"/>
    </xf>
    <xf numFmtId="0" fontId="6" fillId="0" borderId="7" xfId="0" applyFont="1" applyBorder="1" applyAlignment="1">
      <alignment horizontal="left" vertical="center"/>
    </xf>
    <xf numFmtId="0" fontId="10" fillId="0" borderId="0" xfId="0" applyFont="1" applyAlignment="1">
      <alignment horizontal="right"/>
    </xf>
    <xf numFmtId="0" fontId="6" fillId="0" borderId="8" xfId="0" applyFont="1" applyBorder="1" applyAlignment="1">
      <alignment horizontal="left" vertical="center"/>
    </xf>
    <xf numFmtId="0" fontId="10" fillId="0" borderId="0" xfId="0" applyFont="1"/>
    <xf numFmtId="0" fontId="8" fillId="0" borderId="0" xfId="0" applyFont="1"/>
    <xf numFmtId="0" fontId="11" fillId="0" borderId="0" xfId="0" applyFont="1"/>
    <xf numFmtId="0" fontId="13" fillId="2" borderId="1" xfId="0" applyFont="1" applyFill="1" applyBorder="1" applyAlignment="1">
      <alignment horizontal="right" vertical="center"/>
    </xf>
    <xf numFmtId="0" fontId="15" fillId="4" borderId="1" xfId="0" applyFont="1" applyFill="1" applyBorder="1" applyAlignment="1">
      <alignment horizontal="right" vertical="center"/>
    </xf>
    <xf numFmtId="0" fontId="6" fillId="5" borderId="1" xfId="0" applyFont="1" applyFill="1" applyBorder="1" applyAlignment="1">
      <alignment horizontal="right" vertical="center"/>
    </xf>
    <xf numFmtId="0" fontId="6" fillId="7" borderId="1" xfId="0" applyFont="1" applyFill="1" applyBorder="1" applyAlignment="1">
      <alignment horizontal="right" vertical="center"/>
    </xf>
    <xf numFmtId="0" fontId="7" fillId="0" borderId="0" xfId="0" applyFont="1" applyAlignment="1">
      <alignment horizontal="center" vertical="center"/>
    </xf>
    <xf numFmtId="0" fontId="6" fillId="8" borderId="1" xfId="0" applyFont="1" applyFill="1" applyBorder="1" applyAlignment="1">
      <alignment horizontal="right" vertical="center"/>
    </xf>
    <xf numFmtId="0" fontId="6" fillId="3" borderId="1" xfId="0" applyFont="1" applyFill="1" applyBorder="1" applyAlignment="1">
      <alignment horizontal="right" vertical="center"/>
    </xf>
    <xf numFmtId="0" fontId="6" fillId="9" borderId="1" xfId="0" applyFont="1" applyFill="1" applyBorder="1" applyAlignment="1">
      <alignment horizontal="right" vertical="center"/>
    </xf>
    <xf numFmtId="0" fontId="17" fillId="0" borderId="0" xfId="0" applyFont="1" applyAlignment="1">
      <alignment horizontal="center" vertical="center"/>
    </xf>
    <xf numFmtId="0" fontId="6" fillId="0" borderId="0" xfId="0" applyFont="1" applyAlignment="1">
      <alignment horizontal="center" vertical="center"/>
    </xf>
    <xf numFmtId="0" fontId="6" fillId="0" borderId="9" xfId="0" applyFont="1" applyBorder="1" applyAlignment="1">
      <alignment horizontal="left" vertical="center"/>
    </xf>
    <xf numFmtId="0" fontId="10" fillId="0" borderId="0" xfId="0" applyFont="1" applyAlignment="1">
      <alignment horizontal="center" vertical="center"/>
    </xf>
    <xf numFmtId="0" fontId="6" fillId="10" borderId="5" xfId="0" applyFont="1" applyFill="1" applyBorder="1" applyAlignment="1">
      <alignment horizontal="center" vertical="center" wrapText="1"/>
    </xf>
    <xf numFmtId="0" fontId="6" fillId="10" borderId="6" xfId="0" applyFont="1" applyFill="1" applyBorder="1" applyAlignment="1">
      <alignment horizontal="center" vertical="center" wrapText="1"/>
    </xf>
    <xf numFmtId="0" fontId="2" fillId="0" borderId="0" xfId="0" applyFont="1" applyAlignment="1">
      <alignment horizontal="right" vertical="center"/>
    </xf>
    <xf numFmtId="0" fontId="4" fillId="0" borderId="0" xfId="0" applyFont="1" applyAlignment="1">
      <alignment horizontal="left" vertical="center"/>
    </xf>
    <xf numFmtId="0" fontId="19" fillId="0" borderId="0" xfId="0" applyFont="1" applyAlignment="1">
      <alignment horizontal="center" vertical="center"/>
    </xf>
    <xf numFmtId="0" fontId="20" fillId="0" borderId="21" xfId="0" applyFont="1" applyBorder="1"/>
    <xf numFmtId="0" fontId="20" fillId="0" borderId="0" xfId="0" applyFont="1"/>
    <xf numFmtId="0" fontId="20" fillId="0" borderId="35" xfId="0" applyFont="1" applyBorder="1"/>
    <xf numFmtId="0" fontId="21" fillId="0" borderId="0" xfId="0" applyFont="1" applyAlignment="1">
      <alignment horizontal="center" vertical="center"/>
    </xf>
    <xf numFmtId="0" fontId="22" fillId="0" borderId="0" xfId="0" applyFont="1" applyAlignment="1">
      <alignment horizontal="center" vertical="center"/>
    </xf>
    <xf numFmtId="0" fontId="23" fillId="0" borderId="0" xfId="0" applyFont="1" applyAlignment="1">
      <alignment horizontal="center"/>
    </xf>
    <xf numFmtId="0" fontId="23" fillId="0" borderId="0" xfId="0" applyFont="1"/>
    <xf numFmtId="0" fontId="24" fillId="0" borderId="0" xfId="0" applyFont="1" applyAlignment="1">
      <alignment horizontal="center" vertical="center"/>
    </xf>
    <xf numFmtId="0" fontId="18" fillId="0" borderId="0" xfId="0" applyFont="1" applyAlignment="1">
      <alignment horizontal="center" vertical="center"/>
    </xf>
    <xf numFmtId="0" fontId="18" fillId="4" borderId="1" xfId="0" applyFont="1" applyFill="1" applyBorder="1" applyAlignment="1">
      <alignment horizontal="center" vertical="center"/>
    </xf>
    <xf numFmtId="0" fontId="22" fillId="4" borderId="43" xfId="0" applyFont="1" applyFill="1" applyBorder="1" applyAlignment="1">
      <alignment horizontal="center" vertical="center"/>
    </xf>
    <xf numFmtId="0" fontId="19" fillId="4" borderId="1" xfId="0" applyFont="1" applyFill="1" applyBorder="1" applyAlignment="1">
      <alignment horizontal="center" vertical="center"/>
    </xf>
    <xf numFmtId="0" fontId="19" fillId="4" borderId="2" xfId="0" applyFont="1" applyFill="1" applyBorder="1" applyAlignment="1">
      <alignment horizontal="center" vertical="center"/>
    </xf>
    <xf numFmtId="3" fontId="20" fillId="0" borderId="4" xfId="0" applyNumberFormat="1" applyFont="1" applyBorder="1" applyAlignment="1">
      <alignment horizontal="center"/>
    </xf>
    <xf numFmtId="0" fontId="2" fillId="0" borderId="1" xfId="0" applyFont="1" applyBorder="1" applyAlignment="1">
      <alignment horizontal="center"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3" fontId="20" fillId="0" borderId="1" xfId="0" applyNumberFormat="1" applyFont="1" applyBorder="1" applyAlignment="1">
      <alignment horizontal="center"/>
    </xf>
    <xf numFmtId="3" fontId="2" fillId="0" borderId="4" xfId="0" applyNumberFormat="1" applyFont="1" applyBorder="1" applyAlignment="1">
      <alignment horizontal="center" vertical="center"/>
    </xf>
    <xf numFmtId="0" fontId="3" fillId="0" borderId="2" xfId="0" applyFont="1" applyBorder="1" applyAlignment="1">
      <alignment horizontal="left" vertical="center"/>
    </xf>
    <xf numFmtId="0" fontId="3" fillId="0" borderId="46" xfId="0" applyFont="1" applyBorder="1" applyAlignment="1">
      <alignment horizontal="left" vertical="center" wrapText="1"/>
    </xf>
    <xf numFmtId="0" fontId="3" fillId="0" borderId="47" xfId="0" applyFont="1" applyBorder="1" applyAlignment="1">
      <alignment horizontal="left" vertical="center"/>
    </xf>
    <xf numFmtId="0" fontId="2" fillId="0" borderId="48" xfId="0" applyFont="1" applyBorder="1" applyAlignment="1">
      <alignment horizontal="left" vertical="center" wrapText="1"/>
    </xf>
    <xf numFmtId="0" fontId="2" fillId="0" borderId="49" xfId="0" applyFont="1" applyBorder="1" applyAlignment="1">
      <alignment horizontal="left" vertical="center"/>
    </xf>
    <xf numFmtId="0" fontId="3" fillId="0" borderId="48" xfId="0" applyFont="1" applyBorder="1" applyAlignment="1">
      <alignment horizontal="left" vertical="center" wrapText="1"/>
    </xf>
    <xf numFmtId="0" fontId="3" fillId="0" borderId="49" xfId="0" applyFont="1" applyBorder="1" applyAlignment="1">
      <alignment horizontal="left" vertical="center"/>
    </xf>
    <xf numFmtId="0" fontId="2" fillId="0" borderId="50" xfId="0" applyFont="1" applyBorder="1" applyAlignment="1">
      <alignment horizontal="left" vertical="center" wrapText="1"/>
    </xf>
    <xf numFmtId="0" fontId="2" fillId="0" borderId="51" xfId="0" applyFont="1" applyBorder="1" applyAlignment="1">
      <alignment horizontal="left" vertical="center"/>
    </xf>
    <xf numFmtId="0" fontId="3" fillId="0" borderId="52" xfId="0" applyFont="1" applyBorder="1" applyAlignment="1">
      <alignment horizontal="left" vertical="center"/>
    </xf>
    <xf numFmtId="0" fontId="2" fillId="0" borderId="52" xfId="0" applyFont="1" applyBorder="1" applyAlignment="1">
      <alignment horizontal="left" vertical="center"/>
    </xf>
    <xf numFmtId="0" fontId="2" fillId="7" borderId="53" xfId="0" applyFont="1" applyFill="1" applyBorder="1" applyAlignment="1">
      <alignment horizontal="center" vertical="center"/>
    </xf>
    <xf numFmtId="3" fontId="2" fillId="0" borderId="1" xfId="0" applyNumberFormat="1" applyFont="1" applyBorder="1" applyAlignment="1">
      <alignment horizontal="center" vertical="center"/>
    </xf>
    <xf numFmtId="0" fontId="29" fillId="0" borderId="1" xfId="0" applyFont="1" applyBorder="1" applyAlignment="1">
      <alignment horizontal="left" vertical="center"/>
    </xf>
    <xf numFmtId="0" fontId="28" fillId="14" borderId="13" xfId="0" applyFont="1" applyFill="1" applyBorder="1" applyAlignment="1">
      <alignment horizontal="center" vertical="center"/>
    </xf>
    <xf numFmtId="0" fontId="6" fillId="0" borderId="7" xfId="0" applyFont="1" applyBorder="1" applyAlignment="1">
      <alignment horizontal="fill" vertical="center"/>
    </xf>
    <xf numFmtId="0" fontId="6" fillId="0" borderId="8" xfId="0" applyFont="1" applyBorder="1" applyAlignment="1">
      <alignment horizontal="fill" vertical="center"/>
    </xf>
    <xf numFmtId="0" fontId="31" fillId="0" borderId="0" xfId="0" applyFont="1"/>
    <xf numFmtId="0" fontId="20" fillId="0" borderId="31" xfId="0" applyFont="1" applyBorder="1" applyAlignment="1">
      <alignment wrapText="1"/>
    </xf>
    <xf numFmtId="0" fontId="0" fillId="0" borderId="31" xfId="0" applyBorder="1"/>
    <xf numFmtId="0" fontId="2" fillId="0" borderId="1" xfId="0" applyFont="1" applyBorder="1" applyAlignment="1">
      <alignment horizontal="left" vertical="center"/>
    </xf>
    <xf numFmtId="0" fontId="0" fillId="0" borderId="3" xfId="0" applyBorder="1"/>
    <xf numFmtId="0" fontId="0" fillId="0" borderId="4" xfId="0" applyBorder="1"/>
    <xf numFmtId="0" fontId="12" fillId="0" borderId="1" xfId="0" applyFont="1" applyBorder="1" applyAlignment="1">
      <alignment horizontal="left" vertical="center"/>
    </xf>
    <xf numFmtId="0" fontId="5" fillId="2" borderId="56" xfId="0" applyFont="1" applyFill="1" applyBorder="1" applyAlignment="1">
      <alignment horizontal="center" vertical="center"/>
    </xf>
    <xf numFmtId="0" fontId="0" fillId="0" borderId="6" xfId="0" applyBorder="1"/>
    <xf numFmtId="0" fontId="20" fillId="0" borderId="1" xfId="0" applyFont="1" applyBorder="1"/>
    <xf numFmtId="0" fontId="2" fillId="0" borderId="55" xfId="0" applyFont="1" applyBorder="1" applyAlignment="1">
      <alignment horizontal="left" vertical="center"/>
    </xf>
    <xf numFmtId="0" fontId="0" fillId="0" borderId="29" xfId="0" applyBorder="1"/>
    <xf numFmtId="0" fontId="9" fillId="0" borderId="1" xfId="0" applyFont="1" applyBorder="1" applyAlignment="1">
      <alignment horizontal="left" vertical="center"/>
    </xf>
    <xf numFmtId="0" fontId="20" fillId="0" borderId="31" xfId="0" applyFont="1" applyBorder="1"/>
    <xf numFmtId="0" fontId="0" fillId="0" borderId="30" xfId="0" applyBorder="1"/>
    <xf numFmtId="14" fontId="2" fillId="0" borderId="1" xfId="0" applyNumberFormat="1" applyFont="1" applyBorder="1" applyAlignment="1">
      <alignment horizontal="left" vertical="center"/>
    </xf>
    <xf numFmtId="0" fontId="2" fillId="0" borderId="62" xfId="0" applyFont="1" applyBorder="1" applyAlignment="1">
      <alignment horizontal="left" vertical="center"/>
    </xf>
    <xf numFmtId="0" fontId="0" fillId="0" borderId="26" xfId="0" applyBorder="1"/>
    <xf numFmtId="0" fontId="2" fillId="11" borderId="1" xfId="0" applyFont="1" applyFill="1" applyBorder="1" applyAlignment="1">
      <alignment horizontal="center" vertical="center"/>
    </xf>
    <xf numFmtId="0" fontId="0" fillId="0" borderId="53" xfId="0" applyBorder="1"/>
    <xf numFmtId="0" fontId="0" fillId="0" borderId="54" xfId="0" applyBorder="1"/>
    <xf numFmtId="0" fontId="2" fillId="3" borderId="52" xfId="0" applyFont="1" applyFill="1" applyBorder="1" applyAlignment="1">
      <alignment horizontal="center" vertical="center"/>
    </xf>
    <xf numFmtId="0" fontId="0" fillId="0" borderId="44" xfId="0" applyBorder="1"/>
    <xf numFmtId="0" fontId="0" fillId="0" borderId="45" xfId="0" applyBorder="1"/>
    <xf numFmtId="0" fontId="16" fillId="0" borderId="57" xfId="0" applyFont="1" applyBorder="1" applyAlignment="1">
      <alignment horizontal="center" vertical="center"/>
    </xf>
    <xf numFmtId="0" fontId="0" fillId="0" borderId="18" xfId="0" applyBorder="1"/>
    <xf numFmtId="0" fontId="0" fillId="0" borderId="19" xfId="0" applyBorder="1"/>
    <xf numFmtId="0" fontId="28" fillId="7" borderId="2" xfId="0" applyFont="1" applyFill="1" applyBorder="1" applyAlignment="1">
      <alignment horizontal="center" vertical="center"/>
    </xf>
    <xf numFmtId="0" fontId="0" fillId="0" borderId="13" xfId="0" applyBorder="1"/>
    <xf numFmtId="0" fontId="0" fillId="0" borderId="15" xfId="0" applyBorder="1"/>
    <xf numFmtId="0" fontId="28" fillId="8" borderId="1" xfId="0" applyFont="1" applyFill="1" applyBorder="1" applyAlignment="1">
      <alignment horizontal="center" vertical="center"/>
    </xf>
    <xf numFmtId="0" fontId="6" fillId="0" borderId="59" xfId="0" applyFont="1" applyBorder="1" applyAlignment="1">
      <alignment horizontal="center" vertical="center"/>
    </xf>
    <xf numFmtId="0" fontId="0" fillId="0" borderId="24" xfId="0" applyBorder="1"/>
    <xf numFmtId="0" fontId="0" fillId="0" borderId="25" xfId="0" applyBorder="1"/>
    <xf numFmtId="0" fontId="28" fillId="5" borderId="52" xfId="0" applyFont="1" applyFill="1" applyBorder="1" applyAlignment="1">
      <alignment horizontal="center" vertical="center"/>
    </xf>
    <xf numFmtId="0" fontId="24" fillId="4" borderId="1" xfId="0" applyFont="1" applyFill="1" applyBorder="1" applyAlignment="1">
      <alignment horizontal="center" vertical="center"/>
    </xf>
    <xf numFmtId="176" fontId="3" fillId="0" borderId="1" xfId="0" applyNumberFormat="1" applyFont="1" applyBorder="1" applyAlignment="1">
      <alignment horizontal="center" vertical="center"/>
    </xf>
    <xf numFmtId="0" fontId="26" fillId="0" borderId="52" xfId="0" applyFont="1" applyBorder="1" applyAlignment="1">
      <alignment horizontal="left" vertical="center" wrapText="1"/>
    </xf>
    <xf numFmtId="0" fontId="0" fillId="0" borderId="36" xfId="0" applyBorder="1"/>
    <xf numFmtId="0" fontId="0" fillId="0" borderId="37" xfId="0" applyBorder="1"/>
    <xf numFmtId="0" fontId="0" fillId="0" borderId="41" xfId="0" applyBorder="1"/>
    <xf numFmtId="0" fontId="0" fillId="0" borderId="0" xfId="0"/>
    <xf numFmtId="0" fontId="0" fillId="0" borderId="42" xfId="0" applyBorder="1"/>
    <xf numFmtId="0" fontId="0" fillId="0" borderId="38" xfId="0" applyBorder="1"/>
    <xf numFmtId="0" fontId="0" fillId="0" borderId="39" xfId="0" applyBorder="1"/>
    <xf numFmtId="0" fontId="0" fillId="0" borderId="40" xfId="0" applyBorder="1"/>
    <xf numFmtId="0" fontId="3" fillId="0" borderId="1" xfId="0" applyFont="1" applyBorder="1" applyAlignment="1">
      <alignment horizontal="left" vertical="center"/>
    </xf>
    <xf numFmtId="0" fontId="18" fillId="0" borderId="1" xfId="0" applyFont="1" applyBorder="1" applyAlignment="1">
      <alignment horizontal="center" vertical="center"/>
    </xf>
    <xf numFmtId="0" fontId="0" fillId="0" borderId="11" xfId="0" applyBorder="1"/>
    <xf numFmtId="0" fontId="0" fillId="0" borderId="12" xfId="0" applyBorder="1"/>
    <xf numFmtId="0" fontId="0" fillId="0" borderId="14" xfId="0" applyBorder="1"/>
    <xf numFmtId="0" fontId="0" fillId="0" borderId="16" xfId="0" applyBorder="1"/>
    <xf numFmtId="0" fontId="0" fillId="0" borderId="17" xfId="0" applyBorder="1"/>
    <xf numFmtId="176" fontId="16" fillId="0" borderId="1" xfId="0" applyNumberFormat="1" applyFont="1" applyBorder="1" applyAlignment="1">
      <alignment horizontal="center" vertical="center"/>
    </xf>
    <xf numFmtId="0" fontId="2" fillId="0" borderId="63" xfId="0" applyFont="1" applyBorder="1" applyAlignment="1">
      <alignment horizontal="left" vertical="center"/>
    </xf>
    <xf numFmtId="0" fontId="0" fillId="0" borderId="32" xfId="0" applyBorder="1"/>
    <xf numFmtId="0" fontId="27" fillId="4" borderId="54" xfId="0" applyFont="1" applyFill="1" applyBorder="1" applyAlignment="1">
      <alignment horizontal="center" vertical="center"/>
    </xf>
    <xf numFmtId="0" fontId="2" fillId="7" borderId="52" xfId="0" applyFont="1" applyFill="1" applyBorder="1" applyAlignment="1">
      <alignment horizontal="center" vertical="center"/>
    </xf>
    <xf numFmtId="0" fontId="25" fillId="0" borderId="52" xfId="0" applyFont="1" applyBorder="1" applyAlignment="1">
      <alignment horizontal="center" vertical="center"/>
    </xf>
    <xf numFmtId="0" fontId="20" fillId="0" borderId="34" xfId="0" applyFont="1" applyBorder="1" applyAlignment="1">
      <alignment wrapText="1"/>
    </xf>
    <xf numFmtId="0" fontId="0" fillId="0" borderId="34" xfId="0" applyBorder="1"/>
    <xf numFmtId="0" fontId="6" fillId="0" borderId="61" xfId="0" applyFont="1" applyBorder="1" applyAlignment="1">
      <alignment horizontal="center" vertical="center"/>
    </xf>
    <xf numFmtId="0" fontId="0" fillId="0" borderId="23" xfId="0" applyBorder="1"/>
    <xf numFmtId="0" fontId="20" fillId="0" borderId="34" xfId="0" applyFont="1" applyBorder="1"/>
    <xf numFmtId="0" fontId="0" fillId="0" borderId="33" xfId="0" applyBorder="1"/>
    <xf numFmtId="0" fontId="14" fillId="0" borderId="1" xfId="0" applyFont="1" applyBorder="1" applyAlignment="1">
      <alignment horizontal="center" vertical="center"/>
    </xf>
    <xf numFmtId="0" fontId="20" fillId="12" borderId="1" xfId="0" applyFont="1" applyFill="1" applyBorder="1" applyAlignment="1">
      <alignment horizontal="center" vertical="center"/>
    </xf>
    <xf numFmtId="0" fontId="6" fillId="0" borderId="1" xfId="0" applyFont="1" applyBorder="1" applyAlignment="1">
      <alignment horizontal="center" vertical="center"/>
    </xf>
    <xf numFmtId="0" fontId="6" fillId="0" borderId="60" xfId="0" applyFont="1" applyBorder="1" applyAlignment="1">
      <alignment horizontal="center" vertical="center"/>
    </xf>
    <xf numFmtId="0" fontId="0" fillId="0" borderId="21" xfId="0" applyBorder="1"/>
    <xf numFmtId="0" fontId="0" fillId="0" borderId="22" xfId="0" applyBorder="1"/>
    <xf numFmtId="0" fontId="20" fillId="0" borderId="28" xfId="0" applyFont="1" applyBorder="1" applyAlignment="1">
      <alignment wrapText="1"/>
    </xf>
    <xf numFmtId="0" fontId="0" fillId="0" borderId="28" xfId="0" applyBorder="1"/>
    <xf numFmtId="0" fontId="20" fillId="0" borderId="28" xfId="0" applyFont="1" applyBorder="1"/>
    <xf numFmtId="0" fontId="0" fillId="0" borderId="27" xfId="0" applyBorder="1"/>
    <xf numFmtId="0" fontId="28" fillId="13" borderId="10" xfId="0" applyFont="1" applyFill="1" applyBorder="1" applyAlignment="1">
      <alignment horizontal="center" vertical="center"/>
    </xf>
    <xf numFmtId="0" fontId="2" fillId="5" borderId="52" xfId="0" applyFont="1" applyFill="1" applyBorder="1" applyAlignment="1">
      <alignment horizontal="center" vertical="center"/>
    </xf>
    <xf numFmtId="0" fontId="6" fillId="0" borderId="58" xfId="0" applyFont="1" applyBorder="1" applyAlignment="1">
      <alignment horizontal="center" vertical="center"/>
    </xf>
    <xf numFmtId="0" fontId="0" fillId="0" borderId="20" xfId="0" applyBorder="1"/>
    <xf numFmtId="0" fontId="2" fillId="9" borderId="1" xfId="0" applyFont="1" applyFill="1" applyBorder="1" applyAlignment="1">
      <alignment horizontal="center" vertical="center"/>
    </xf>
    <xf numFmtId="176" fontId="3" fillId="6" borderId="1" xfId="0" applyNumberFormat="1" applyFont="1" applyFill="1" applyBorder="1" applyAlignment="1">
      <alignment horizontal="center" vertical="center"/>
    </xf>
    <xf numFmtId="0" fontId="2" fillId="9" borderId="54" xfId="0" applyFont="1" applyFill="1" applyBorder="1" applyAlignment="1">
      <alignment horizontal="center" vertical="center"/>
    </xf>
    <xf numFmtId="0" fontId="2" fillId="5" borderId="14" xfId="0" applyFont="1" applyFill="1" applyBorder="1" applyAlignment="1">
      <alignment horizontal="center" vertical="center"/>
    </xf>
    <xf numFmtId="176" fontId="3" fillId="6" borderId="2" xfId="0" applyNumberFormat="1" applyFont="1" applyFill="1" applyBorder="1" applyAlignment="1">
      <alignment horizontal="center" vertical="center"/>
    </xf>
    <xf numFmtId="176" fontId="3" fillId="6" borderId="3" xfId="0" applyNumberFormat="1" applyFont="1" applyFill="1" applyBorder="1" applyAlignment="1">
      <alignment horizontal="center" vertical="center"/>
    </xf>
    <xf numFmtId="176" fontId="3" fillId="6" borderId="4" xfId="0" applyNumberFormat="1" applyFont="1" applyFill="1" applyBorder="1" applyAlignment="1">
      <alignment horizontal="center" vertical="center"/>
    </xf>
  </cellXfs>
  <cellStyles count="1">
    <cellStyle name="標準" xfId="0" builtinId="0"/>
  </cellStyles>
  <dxfs count="1">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0">
                <a:solidFill>
                  <a:srgbClr val="757575"/>
                </a:solidFill>
                <a:latin typeface="+mn-lt"/>
              </a:defRPr>
            </a:pPr>
            <a:r>
              <a:rPr lang="ja-JP" altLang="en-US" b="0">
                <a:solidFill>
                  <a:srgbClr val="757575"/>
                </a:solidFill>
                <a:latin typeface="+mn-lt"/>
              </a:rPr>
              <a:t>営業全体評価</a:t>
            </a:r>
          </a:p>
        </c:rich>
      </c:tx>
      <c:layout>
        <c:manualLayout>
          <c:xMode val="edge"/>
          <c:yMode val="edge"/>
          <c:x val="3.8072346203055718E-2"/>
          <c:y val="5.0360104821191277E-2"/>
        </c:manualLayout>
      </c:layout>
      <c:overlay val="0"/>
    </c:title>
    <c:autoTitleDeleted val="0"/>
    <c:plotArea>
      <c:layout/>
      <c:radarChart>
        <c:radarStyle val="marker"/>
        <c:varyColors val="1"/>
        <c:ser>
          <c:idx val="0"/>
          <c:order val="0"/>
          <c:spPr>
            <a:ln w="19050" cmpd="sng">
              <a:solidFill>
                <a:srgbClr val="4285F4"/>
              </a:solidFill>
              <a:prstDash val="solid"/>
            </a:ln>
          </c:spPr>
          <c:marker>
            <c:symbol val="circle"/>
            <c:size val="10"/>
            <c:spPr>
              <a:solidFill>
                <a:srgbClr val="4285F4"/>
              </a:solidFill>
              <a:ln cmpd="sng">
                <a:solidFill>
                  <a:srgbClr val="4285F4"/>
                </a:solidFill>
                <a:prstDash val="solid"/>
              </a:ln>
            </c:spPr>
          </c:marker>
          <c:cat>
            <c:strRef>
              <c:f>エキスパートハブ様!$A$11:$A$15</c:f>
              <c:strCache>
                <c:ptCount val="5"/>
                <c:pt idx="0">
                  <c:v>商談前ＩＳ</c:v>
                </c:pt>
                <c:pt idx="1">
                  <c:v>商談態勢</c:v>
                </c:pt>
                <c:pt idx="2">
                  <c:v>営業人間力</c:v>
                </c:pt>
                <c:pt idx="3">
                  <c:v>商談対応力</c:v>
                </c:pt>
                <c:pt idx="4">
                  <c:v>商談後フォロー</c:v>
                </c:pt>
              </c:strCache>
            </c:strRef>
          </c:cat>
          <c:val>
            <c:numRef>
              <c:f>エキスパートハブ様!$B$11:$B$15</c:f>
              <c:numCache>
                <c:formatCode>0"点"</c:formatCode>
                <c:ptCount val="5"/>
                <c:pt idx="0">
                  <c:v>0</c:v>
                </c:pt>
                <c:pt idx="1">
                  <c:v>77.272727272727266</c:v>
                </c:pt>
                <c:pt idx="2">
                  <c:v>84</c:v>
                </c:pt>
                <c:pt idx="3">
                  <c:v>64.516129032258064</c:v>
                </c:pt>
                <c:pt idx="4">
                  <c:v>0</c:v>
                </c:pt>
              </c:numCache>
            </c:numRef>
          </c:val>
          <c:extLst>
            <c:ext xmlns:c16="http://schemas.microsoft.com/office/drawing/2014/chart" uri="{C3380CC4-5D6E-409C-BE32-E72D297353CC}">
              <c16:uniqueId val="{00000000-42C3-444A-B788-68B32E9EB97D}"/>
            </c:ext>
          </c:extLst>
        </c:ser>
        <c:dLbls>
          <c:showLegendKey val="0"/>
          <c:showVal val="0"/>
          <c:showCatName val="0"/>
          <c:showSerName val="0"/>
          <c:showPercent val="0"/>
          <c:showBubbleSize val="0"/>
        </c:dLbls>
        <c:axId val="1213137981"/>
        <c:axId val="56476653"/>
      </c:radarChart>
      <c:catAx>
        <c:axId val="1213137981"/>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ja-JP"/>
          </a:p>
        </c:txPr>
        <c:crossAx val="56476653"/>
        <c:crosses val="autoZero"/>
        <c:auto val="1"/>
        <c:lblAlgn val="ctr"/>
        <c:lblOffset val="100"/>
        <c:noMultiLvlLbl val="1"/>
      </c:catAx>
      <c:valAx>
        <c:axId val="56476653"/>
        <c:scaling>
          <c:orientation val="minMax"/>
          <c:max val="10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ja-JP" altLang="en-US"/>
              </a:p>
            </c:rich>
          </c:tx>
          <c:overlay val="0"/>
        </c:title>
        <c:numFmt formatCode="0&quot;点&quot;"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1213137981"/>
        <c:crosses val="autoZero"/>
        <c:crossBetween val="between"/>
      </c:valAx>
    </c:plotArea>
    <c:plotVisOnly val="0"/>
    <c:dispBlanksAs val="zero"/>
    <c:showDLblsOverMax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1"/>
  <c:style val="2"/>
  <c:chart>
    <c:title>
      <c:tx>
        <c:rich>
          <a:bodyPr/>
          <a:lstStyle/>
          <a:p>
            <a:pPr lvl="0">
              <a:defRPr b="0">
                <a:solidFill>
                  <a:srgbClr val="757575"/>
                </a:solidFill>
                <a:latin typeface="Arial"/>
              </a:defRPr>
            </a:pPr>
            <a:r>
              <a:rPr lang="ja-JP" altLang="en-US" b="0">
                <a:solidFill>
                  <a:srgbClr val="757575"/>
                </a:solidFill>
                <a:latin typeface="Arial"/>
              </a:rPr>
              <a:t>商談評価</a:t>
            </a:r>
          </a:p>
        </c:rich>
      </c:tx>
      <c:layout>
        <c:manualLayout>
          <c:xMode val="edge"/>
          <c:yMode val="edge"/>
          <c:x val="3.8072346203055718E-2"/>
          <c:y val="5.0360104821191277E-2"/>
        </c:manualLayout>
      </c:layout>
      <c:overlay val="0"/>
    </c:title>
    <c:autoTitleDeleted val="0"/>
    <c:plotArea>
      <c:layout/>
      <c:radarChart>
        <c:radarStyle val="marker"/>
        <c:varyColors val="1"/>
        <c:ser>
          <c:idx val="0"/>
          <c:order val="0"/>
          <c:spPr>
            <a:ln w="19050" cmpd="sng">
              <a:solidFill>
                <a:srgbClr val="4285F4"/>
              </a:solidFill>
              <a:prstDash val="solid"/>
            </a:ln>
          </c:spPr>
          <c:marker>
            <c:symbol val="circle"/>
            <c:size val="10"/>
            <c:spPr>
              <a:solidFill>
                <a:srgbClr val="4285F4"/>
              </a:solidFill>
              <a:ln cmpd="sng">
                <a:solidFill>
                  <a:srgbClr val="4285F4"/>
                </a:solidFill>
                <a:prstDash val="solid"/>
              </a:ln>
            </c:spPr>
          </c:marker>
          <c:cat>
            <c:strRef>
              <c:f>エキスパートハブ様!$H$25:$H$28</c:f>
              <c:strCache>
                <c:ptCount val="4"/>
                <c:pt idx="0">
                  <c:v>冒頭</c:v>
                </c:pt>
                <c:pt idx="1">
                  <c:v>質問</c:v>
                </c:pt>
                <c:pt idx="2">
                  <c:v>サービス説明</c:v>
                </c:pt>
                <c:pt idx="3">
                  <c:v>クロージング</c:v>
                </c:pt>
              </c:strCache>
            </c:strRef>
          </c:cat>
          <c:val>
            <c:numRef>
              <c:f>エキスパートハブ様!$H$20:$H$23</c:f>
              <c:numCache>
                <c:formatCode>0"点"</c:formatCode>
                <c:ptCount val="4"/>
                <c:pt idx="0">
                  <c:v>70</c:v>
                </c:pt>
                <c:pt idx="1">
                  <c:v>100</c:v>
                </c:pt>
                <c:pt idx="2">
                  <c:v>88.461538461538453</c:v>
                </c:pt>
                <c:pt idx="3">
                  <c:v>0</c:v>
                </c:pt>
              </c:numCache>
            </c:numRef>
          </c:val>
          <c:extLst>
            <c:ext xmlns:c16="http://schemas.microsoft.com/office/drawing/2014/chart" uri="{C3380CC4-5D6E-409C-BE32-E72D297353CC}">
              <c16:uniqueId val="{00000000-942B-1B4B-9573-6945007777F6}"/>
            </c:ext>
          </c:extLst>
        </c:ser>
        <c:dLbls>
          <c:showLegendKey val="0"/>
          <c:showVal val="0"/>
          <c:showCatName val="0"/>
          <c:showSerName val="0"/>
          <c:showPercent val="0"/>
          <c:showBubbleSize val="0"/>
        </c:dLbls>
        <c:axId val="1952814666"/>
        <c:axId val="1833026699"/>
      </c:radarChart>
      <c:catAx>
        <c:axId val="1952814666"/>
        <c:scaling>
          <c:orientation val="minMax"/>
        </c:scaling>
        <c:delete val="0"/>
        <c:axPos val="b"/>
        <c:title>
          <c:tx>
            <c:rich>
              <a:bodyPr/>
              <a:lstStyle/>
              <a:p>
                <a:pPr lvl="0">
                  <a:defRPr b="0">
                    <a:solidFill>
                      <a:srgbClr val="000000"/>
                    </a:solidFill>
                    <a:latin typeface="+mn-lt"/>
                  </a:defRPr>
                </a:pPr>
                <a:endParaRPr lang="ja-JP" altLang="en-US"/>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ja-JP"/>
          </a:p>
        </c:txPr>
        <c:crossAx val="1833026699"/>
        <c:crosses val="autoZero"/>
        <c:auto val="1"/>
        <c:lblAlgn val="ctr"/>
        <c:lblOffset val="100"/>
        <c:noMultiLvlLbl val="1"/>
      </c:catAx>
      <c:valAx>
        <c:axId val="1833026699"/>
        <c:scaling>
          <c:orientation val="minMax"/>
          <c:max val="100"/>
        </c:scaling>
        <c:delete val="0"/>
        <c:axPos val="l"/>
        <c:majorGridlines>
          <c:spPr>
            <a:ln>
              <a:solidFill>
                <a:srgbClr val="B7B7B7"/>
              </a:solidFill>
              <a:prstDash val="solid"/>
            </a:ln>
          </c:spPr>
        </c:majorGridlines>
        <c:minorGridlines>
          <c:spPr>
            <a:ln>
              <a:solidFill>
                <a:srgbClr val="CCCCCC"/>
              </a:solidFill>
              <a:prstDash val="solid"/>
            </a:ln>
          </c:spPr>
        </c:minorGridlines>
        <c:title>
          <c:tx>
            <c:rich>
              <a:bodyPr/>
              <a:lstStyle/>
              <a:p>
                <a:pPr lvl="0">
                  <a:defRPr b="0">
                    <a:solidFill>
                      <a:srgbClr val="000000"/>
                    </a:solidFill>
                    <a:latin typeface="+mn-lt"/>
                  </a:defRPr>
                </a:pPr>
                <a:endParaRPr lang="ja-JP" altLang="en-US"/>
              </a:p>
            </c:rich>
          </c:tx>
          <c:overlay val="0"/>
        </c:title>
        <c:numFmt formatCode="0&quot;点&quot;" sourceLinked="1"/>
        <c:majorTickMark val="none"/>
        <c:minorTickMark val="none"/>
        <c:tickLblPos val="nextTo"/>
        <c:spPr>
          <a:ln>
            <a:prstDash val="solid"/>
          </a:ln>
        </c:spPr>
        <c:txPr>
          <a:bodyPr/>
          <a:lstStyle/>
          <a:p>
            <a:pPr lvl="0">
              <a:defRPr b="0">
                <a:solidFill>
                  <a:srgbClr val="000000"/>
                </a:solidFill>
                <a:latin typeface="+mn-lt"/>
              </a:defRPr>
            </a:pPr>
            <a:endParaRPr lang="ja-JP"/>
          </a:p>
        </c:txPr>
        <c:crossAx val="1952814666"/>
        <c:crosses val="autoZero"/>
        <c:crossBetween val="between"/>
      </c:valAx>
    </c:plotArea>
    <c:plotVisOnly val="0"/>
    <c:dispBlanksAs val="zero"/>
    <c:showDLblsOverMax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190500</xdr:colOff>
      <xdr:row>0</xdr:row>
      <xdr:rowOff>76200</xdr:rowOff>
    </xdr:from>
    <xdr:ext cx="4257675" cy="3305175"/>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203200</xdr:colOff>
      <xdr:row>13</xdr:row>
      <xdr:rowOff>127000</xdr:rowOff>
    </xdr:from>
    <xdr:ext cx="4257675" cy="2933700"/>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ocs.google.com/document/d/1bIRv_4RhayRPUwf8SZziJhZV1VZRrLjEm3hU7SuXDUY/edit?hl=JA&amp;tab=t.9j93o0uiski8" TargetMode="External"/><Relationship Id="rId2" Type="http://schemas.openxmlformats.org/officeDocument/2006/relationships/hyperlink" Target="https://reccloud.com/jp/u/30363kg" TargetMode="External"/><Relationship Id="rId1" Type="http://schemas.openxmlformats.org/officeDocument/2006/relationships/hyperlink" Target="https://saleshub.jp/lps/enterprise/experthub" TargetMode="External"/><Relationship Id="rId6" Type="http://schemas.openxmlformats.org/officeDocument/2006/relationships/drawing" Target="../drawings/drawing1.xml"/><Relationship Id="rId5" Type="http://schemas.openxmlformats.org/officeDocument/2006/relationships/hyperlink" Target="https://www.wawaoffice.jp/wawawork/bant/" TargetMode="External"/><Relationship Id="rId4" Type="http://schemas.openxmlformats.org/officeDocument/2006/relationships/hyperlink" Target="https://drive.google.com/file/d/1jqMrIfNfxgZfaa1UXEfiJLlFX7U8xaLB/view?pli=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pageSetUpPr fitToPage="1"/>
  </sheetPr>
  <dimension ref="A1:J172"/>
  <sheetViews>
    <sheetView showGridLines="0" tabSelected="1" zoomScaleNormal="100" workbookViewId="0">
      <selection activeCell="G8" sqref="G8"/>
    </sheetView>
  </sheetViews>
  <sheetFormatPr baseColWidth="10" defaultColWidth="12.6640625" defaultRowHeight="15.75" customHeight="1" outlineLevelCol="1"/>
  <cols>
    <col min="1" max="1" width="18.83203125" customWidth="1"/>
    <col min="2" max="2" width="12.6640625" customWidth="1"/>
    <col min="3" max="3" width="4" customWidth="1"/>
    <col min="4" max="4" width="21.33203125" customWidth="1"/>
    <col min="5" max="5" width="32.6640625" customWidth="1"/>
    <col min="6" max="6" width="27.1640625" customWidth="1"/>
    <col min="7" max="7" width="5.33203125" customWidth="1" collapsed="1"/>
    <col min="8" max="8" width="8.1640625" hidden="1" customWidth="1" outlineLevel="1"/>
    <col min="9" max="9" width="25.83203125" customWidth="1"/>
    <col min="10" max="10" width="32.6640625" customWidth="1"/>
  </cols>
  <sheetData>
    <row r="1" spans="1:10" ht="29.25" customHeight="1">
      <c r="A1" s="1" t="s">
        <v>0</v>
      </c>
      <c r="B1" s="75" t="s">
        <v>1</v>
      </c>
      <c r="C1" s="76"/>
      <c r="D1" s="77"/>
      <c r="E1" s="2"/>
      <c r="F1" s="3"/>
      <c r="G1" s="2"/>
      <c r="H1" s="2"/>
      <c r="I1" s="79" t="s">
        <v>2</v>
      </c>
      <c r="J1" s="80"/>
    </row>
    <row r="2" spans="1:10" ht="13" customHeight="1">
      <c r="A2" s="4" t="s">
        <v>3</v>
      </c>
      <c r="B2" s="87">
        <v>45973</v>
      </c>
      <c r="C2" s="76"/>
      <c r="D2" s="77"/>
      <c r="E2" s="2"/>
      <c r="F2" s="5" t="s">
        <v>4</v>
      </c>
      <c r="G2" s="6"/>
      <c r="H2" s="7">
        <f>SUM(H72:H81)/10*100</f>
        <v>0</v>
      </c>
      <c r="I2" s="8" t="s">
        <v>5</v>
      </c>
      <c r="J2" s="9" t="s">
        <v>6</v>
      </c>
    </row>
    <row r="3" spans="1:10" ht="23.25" customHeight="1">
      <c r="A3" s="4" t="s">
        <v>7</v>
      </c>
      <c r="B3" s="84" t="s">
        <v>8</v>
      </c>
      <c r="C3" s="76"/>
      <c r="D3" s="77"/>
      <c r="E3" s="2"/>
      <c r="F3" s="5" t="s">
        <v>9</v>
      </c>
      <c r="G3" s="6"/>
      <c r="H3" s="10">
        <f>SUM(H83:H104)/22*100</f>
        <v>77.272727272727266</v>
      </c>
      <c r="I3" s="11" t="s">
        <v>10</v>
      </c>
      <c r="J3" s="70" t="s">
        <v>11</v>
      </c>
    </row>
    <row r="4" spans="1:10" ht="23.25" customHeight="1">
      <c r="A4" s="4" t="s">
        <v>12</v>
      </c>
      <c r="B4" s="75" t="s">
        <v>13</v>
      </c>
      <c r="C4" s="76"/>
      <c r="D4" s="77"/>
      <c r="E4" s="2"/>
      <c r="F4" s="12" t="s">
        <v>14</v>
      </c>
      <c r="G4" s="6"/>
      <c r="H4" s="7">
        <f>SUM(H105:H129)/25*100</f>
        <v>84</v>
      </c>
      <c r="I4" s="13" t="s">
        <v>15</v>
      </c>
      <c r="J4" s="71" t="s">
        <v>16</v>
      </c>
    </row>
    <row r="5" spans="1:10" ht="23.25" customHeight="1">
      <c r="A5" s="4" t="s">
        <v>17</v>
      </c>
      <c r="B5" s="75" t="s">
        <v>18</v>
      </c>
      <c r="C5" s="76"/>
      <c r="D5" s="77"/>
      <c r="E5" s="2"/>
      <c r="F5" s="14"/>
      <c r="G5" s="15"/>
      <c r="H5" s="16"/>
      <c r="I5" s="13" t="s">
        <v>19</v>
      </c>
      <c r="J5" s="71" t="s">
        <v>20</v>
      </c>
    </row>
    <row r="6" spans="1:10" ht="23.25" customHeight="1">
      <c r="A6" s="4" t="s">
        <v>21</v>
      </c>
      <c r="B6" s="75" t="s">
        <v>22</v>
      </c>
      <c r="C6" s="76"/>
      <c r="D6" s="77"/>
      <c r="E6" s="2"/>
      <c r="F6" s="5" t="s">
        <v>23</v>
      </c>
      <c r="G6" s="6"/>
      <c r="H6" s="7">
        <f>SUM(H130:H160)/31*100</f>
        <v>64.516129032258064</v>
      </c>
      <c r="I6" s="13" t="s">
        <v>24</v>
      </c>
      <c r="J6" s="71" t="s">
        <v>25</v>
      </c>
    </row>
    <row r="7" spans="1:10" ht="23.25" customHeight="1">
      <c r="A7" s="4" t="s">
        <v>26</v>
      </c>
      <c r="B7" s="78" t="s">
        <v>27</v>
      </c>
      <c r="C7" s="76"/>
      <c r="D7" s="77"/>
      <c r="E7" s="2"/>
      <c r="F7" s="5" t="s">
        <v>28</v>
      </c>
      <c r="G7" s="6"/>
      <c r="H7" s="7">
        <f>SUM(H162:H172)/11*100</f>
        <v>0</v>
      </c>
      <c r="I7" s="13" t="s">
        <v>29</v>
      </c>
      <c r="J7" s="71" t="s">
        <v>30</v>
      </c>
    </row>
    <row r="8" spans="1:10" ht="23.25" customHeight="1">
      <c r="A8" s="4" t="s">
        <v>31</v>
      </c>
      <c r="B8" s="84" t="s">
        <v>32</v>
      </c>
      <c r="C8" s="76"/>
      <c r="D8" s="77"/>
      <c r="E8" s="2"/>
      <c r="F8" s="5"/>
      <c r="G8" s="6"/>
      <c r="H8" s="7"/>
      <c r="I8" s="13" t="s">
        <v>33</v>
      </c>
      <c r="J8" s="71" t="s">
        <v>34</v>
      </c>
    </row>
    <row r="9" spans="1:10" ht="23.25" customHeight="1">
      <c r="A9" s="17" t="s">
        <v>35</v>
      </c>
      <c r="B9" s="137" t="s">
        <v>36</v>
      </c>
      <c r="C9" s="76"/>
      <c r="D9" s="77"/>
      <c r="E9" s="2"/>
      <c r="F9" s="5"/>
      <c r="G9" s="6"/>
      <c r="H9" s="7"/>
      <c r="I9" s="13" t="s">
        <v>37</v>
      </c>
      <c r="J9" s="71" t="s">
        <v>38</v>
      </c>
    </row>
    <row r="10" spans="1:10" ht="25.5" customHeight="1">
      <c r="A10" s="18" t="s">
        <v>39</v>
      </c>
      <c r="B10" s="125">
        <f>SUM(B11:D15)/500*100</f>
        <v>45.157771260997059</v>
      </c>
      <c r="C10" s="76"/>
      <c r="D10" s="77"/>
      <c r="E10" s="2"/>
      <c r="F10" s="5"/>
      <c r="G10" s="6"/>
      <c r="H10" s="7"/>
      <c r="I10" s="13" t="s">
        <v>40</v>
      </c>
      <c r="J10" s="71" t="s">
        <v>41</v>
      </c>
    </row>
    <row r="11" spans="1:10" ht="13" customHeight="1">
      <c r="A11" s="19" t="s">
        <v>42</v>
      </c>
      <c r="B11" s="152">
        <f>H2</f>
        <v>0</v>
      </c>
      <c r="C11" s="76"/>
      <c r="D11" s="77"/>
      <c r="E11" s="2"/>
      <c r="F11" s="3"/>
      <c r="G11" s="6"/>
      <c r="H11" s="7"/>
      <c r="I11" s="13"/>
      <c r="J11" s="13"/>
    </row>
    <row r="12" spans="1:10" ht="13" customHeight="1">
      <c r="A12" s="20" t="s">
        <v>43</v>
      </c>
      <c r="B12" s="108">
        <f>H3</f>
        <v>77.272727272727266</v>
      </c>
      <c r="C12" s="76"/>
      <c r="D12" s="77"/>
      <c r="E12" s="2"/>
      <c r="F12" s="21"/>
      <c r="G12" s="6"/>
      <c r="H12" s="7"/>
      <c r="I12" s="13"/>
      <c r="J12" s="13"/>
    </row>
    <row r="13" spans="1:10" ht="13" customHeight="1">
      <c r="A13" s="22" t="s">
        <v>44</v>
      </c>
      <c r="B13" s="108">
        <f>H4</f>
        <v>84</v>
      </c>
      <c r="C13" s="76"/>
      <c r="D13" s="77"/>
      <c r="E13" s="6"/>
      <c r="F13" s="14"/>
      <c r="G13" s="15"/>
      <c r="H13" s="15"/>
      <c r="I13" s="13"/>
      <c r="J13" s="13"/>
    </row>
    <row r="14" spans="1:10" ht="13" customHeight="1">
      <c r="A14" s="23" t="s">
        <v>45</v>
      </c>
      <c r="B14" s="108">
        <f>H6</f>
        <v>64.516129032258064</v>
      </c>
      <c r="C14" s="76"/>
      <c r="D14" s="77"/>
      <c r="E14" s="6"/>
      <c r="F14" s="14"/>
      <c r="G14" s="15"/>
      <c r="H14" s="15"/>
      <c r="I14" s="13"/>
      <c r="J14" s="13"/>
    </row>
    <row r="15" spans="1:10" ht="13" customHeight="1">
      <c r="A15" s="24" t="s">
        <v>46</v>
      </c>
      <c r="B15" s="155">
        <f>H7</f>
        <v>0</v>
      </c>
      <c r="C15" s="156"/>
      <c r="D15" s="157"/>
      <c r="E15" s="6"/>
      <c r="F15" s="14"/>
      <c r="G15" s="15"/>
      <c r="H15" s="15"/>
      <c r="I15" s="13"/>
      <c r="J15" s="13"/>
    </row>
    <row r="16" spans="1:10" ht="13" customHeight="1">
      <c r="A16" s="139" t="s">
        <v>47</v>
      </c>
      <c r="B16" s="76"/>
      <c r="C16" s="76"/>
      <c r="D16" s="77"/>
      <c r="E16" s="25"/>
      <c r="F16" s="14"/>
      <c r="G16" s="26"/>
      <c r="H16" s="15"/>
      <c r="I16" s="27"/>
      <c r="J16" s="27"/>
    </row>
    <row r="17" spans="1:10" ht="14" customHeight="1">
      <c r="A17" s="119"/>
      <c r="B17" s="120"/>
      <c r="C17" s="120"/>
      <c r="D17" s="121"/>
      <c r="E17" s="28"/>
      <c r="F17" s="14"/>
      <c r="G17" s="26"/>
      <c r="H17" s="15"/>
      <c r="I17" s="29" t="s">
        <v>48</v>
      </c>
      <c r="J17" s="30" t="s">
        <v>6</v>
      </c>
    </row>
    <row r="18" spans="1:10" ht="17.25" customHeight="1">
      <c r="A18" s="100"/>
      <c r="B18" s="113"/>
      <c r="C18" s="113"/>
      <c r="D18" s="122"/>
      <c r="E18" s="28"/>
      <c r="F18" s="14"/>
      <c r="G18" s="26"/>
      <c r="H18" s="15"/>
      <c r="I18" s="11" t="s">
        <v>49</v>
      </c>
      <c r="J18" s="70" t="s">
        <v>50</v>
      </c>
    </row>
    <row r="19" spans="1:10" ht="17.25" customHeight="1">
      <c r="A19" s="100"/>
      <c r="B19" s="113"/>
      <c r="C19" s="113"/>
      <c r="D19" s="122"/>
      <c r="E19" s="28"/>
      <c r="F19" s="14" t="s">
        <v>51</v>
      </c>
      <c r="G19" s="26"/>
      <c r="H19" s="15"/>
      <c r="I19" s="13" t="s">
        <v>52</v>
      </c>
      <c r="J19" s="71" t="s">
        <v>53</v>
      </c>
    </row>
    <row r="20" spans="1:10" ht="17.25" customHeight="1">
      <c r="A20" s="100"/>
      <c r="B20" s="113"/>
      <c r="C20" s="113"/>
      <c r="D20" s="122"/>
      <c r="E20" s="28"/>
      <c r="F20" s="14" t="s">
        <v>54</v>
      </c>
      <c r="G20" s="6"/>
      <c r="H20" s="7">
        <f>SUM(H130:H134)/5*100</f>
        <v>70</v>
      </c>
      <c r="I20" s="13"/>
      <c r="J20" s="13"/>
    </row>
    <row r="21" spans="1:10" ht="13" customHeight="1">
      <c r="A21" s="100"/>
      <c r="B21" s="113"/>
      <c r="C21" s="113"/>
      <c r="D21" s="122"/>
      <c r="E21" s="28"/>
      <c r="F21" s="14" t="s">
        <v>55</v>
      </c>
      <c r="G21" s="6"/>
      <c r="H21" s="7">
        <f>SUM(H135:H139)/5*100</f>
        <v>100</v>
      </c>
      <c r="I21" s="13"/>
      <c r="J21" s="13"/>
    </row>
    <row r="22" spans="1:10" ht="13" customHeight="1">
      <c r="A22" s="100"/>
      <c r="B22" s="113"/>
      <c r="C22" s="113"/>
      <c r="D22" s="122"/>
      <c r="E22" s="28"/>
      <c r="F22" s="14" t="s">
        <v>56</v>
      </c>
      <c r="G22" s="6"/>
      <c r="H22" s="7">
        <f>SUM(H140:H152)/13*100</f>
        <v>88.461538461538453</v>
      </c>
      <c r="I22" s="13"/>
      <c r="J22" s="13"/>
    </row>
    <row r="23" spans="1:10" ht="13" customHeight="1">
      <c r="A23" s="100"/>
      <c r="B23" s="113"/>
      <c r="C23" s="113"/>
      <c r="D23" s="122"/>
      <c r="E23" s="28"/>
      <c r="F23" s="14" t="s">
        <v>57</v>
      </c>
      <c r="G23" s="6"/>
      <c r="H23" s="7">
        <f>SUM(H153:H160)/8*100</f>
        <v>0</v>
      </c>
      <c r="I23" s="13"/>
      <c r="J23" s="13"/>
    </row>
    <row r="24" spans="1:10" ht="13" customHeight="1">
      <c r="A24" s="100"/>
      <c r="B24" s="113"/>
      <c r="C24" s="113"/>
      <c r="D24" s="122"/>
      <c r="E24" s="28"/>
      <c r="F24" s="14" t="s">
        <v>58</v>
      </c>
      <c r="G24" s="6"/>
      <c r="H24" s="7"/>
      <c r="I24" s="13"/>
      <c r="J24" s="13"/>
    </row>
    <row r="25" spans="1:10" ht="13" customHeight="1">
      <c r="A25" s="100"/>
      <c r="B25" s="113"/>
      <c r="C25" s="113"/>
      <c r="D25" s="122"/>
      <c r="E25" s="28"/>
      <c r="F25" s="14"/>
      <c r="G25" s="26"/>
      <c r="H25" s="72" t="s">
        <v>199</v>
      </c>
      <c r="I25" s="13"/>
      <c r="J25" s="13"/>
    </row>
    <row r="26" spans="1:10" ht="13" customHeight="1">
      <c r="A26" s="100"/>
      <c r="B26" s="113"/>
      <c r="C26" s="113"/>
      <c r="D26" s="122"/>
      <c r="E26" s="25"/>
      <c r="F26" s="14"/>
      <c r="G26" s="26"/>
      <c r="H26" s="72" t="s">
        <v>205</v>
      </c>
      <c r="I26" s="13"/>
      <c r="J26" s="13"/>
    </row>
    <row r="27" spans="1:10" ht="13" customHeight="1">
      <c r="A27" s="100"/>
      <c r="B27" s="113"/>
      <c r="C27" s="113"/>
      <c r="D27" s="122"/>
      <c r="E27" s="25"/>
      <c r="F27" s="14"/>
      <c r="G27" s="26"/>
      <c r="H27" s="72" t="s">
        <v>211</v>
      </c>
      <c r="I27" s="13"/>
      <c r="J27" s="13"/>
    </row>
    <row r="28" spans="1:10" ht="13" customHeight="1">
      <c r="A28" s="100"/>
      <c r="B28" s="113"/>
      <c r="C28" s="113"/>
      <c r="D28" s="122"/>
      <c r="E28" s="25"/>
      <c r="F28" s="14"/>
      <c r="G28" s="26"/>
      <c r="H28" s="72" t="s">
        <v>226</v>
      </c>
      <c r="I28" s="13"/>
      <c r="J28" s="13"/>
    </row>
    <row r="29" spans="1:10" ht="13" customHeight="1">
      <c r="A29" s="100"/>
      <c r="B29" s="113"/>
      <c r="C29" s="113"/>
      <c r="D29" s="122"/>
      <c r="E29" s="25"/>
      <c r="F29" s="14"/>
      <c r="G29" s="26"/>
      <c r="H29" s="15"/>
      <c r="I29" s="13"/>
      <c r="J29" s="13"/>
    </row>
    <row r="30" spans="1:10" ht="13" customHeight="1">
      <c r="A30" s="100"/>
      <c r="B30" s="113"/>
      <c r="C30" s="113"/>
      <c r="D30" s="122"/>
      <c r="E30" s="25"/>
      <c r="F30" s="14"/>
      <c r="G30" s="26"/>
      <c r="H30" s="15"/>
      <c r="I30" s="13"/>
      <c r="J30" s="13"/>
    </row>
    <row r="31" spans="1:10" ht="13" customHeight="1">
      <c r="A31" s="101"/>
      <c r="B31" s="123"/>
      <c r="C31" s="123"/>
      <c r="D31" s="124"/>
      <c r="E31" s="25"/>
      <c r="F31" s="14"/>
      <c r="G31" s="26"/>
      <c r="H31" s="15"/>
      <c r="I31" s="27"/>
      <c r="J31" s="27"/>
    </row>
    <row r="32" spans="1:10" ht="13" customHeight="1">
      <c r="A32" s="31"/>
      <c r="B32" s="32"/>
      <c r="C32" s="32"/>
      <c r="D32" s="32"/>
      <c r="E32" s="28"/>
      <c r="F32" s="14"/>
      <c r="G32" s="33"/>
      <c r="H32" s="15"/>
      <c r="I32" s="15"/>
    </row>
    <row r="33" spans="1:10" ht="23" customHeight="1">
      <c r="A33" s="96" t="s">
        <v>59</v>
      </c>
      <c r="B33" s="97"/>
      <c r="C33" s="97"/>
      <c r="D33" s="97"/>
      <c r="E33" s="98"/>
      <c r="F33" s="96" t="s">
        <v>60</v>
      </c>
      <c r="G33" s="97"/>
      <c r="H33" s="97"/>
      <c r="I33" s="97"/>
      <c r="J33" s="98"/>
    </row>
    <row r="34" spans="1:10" ht="13" customHeight="1">
      <c r="A34" s="149" t="s">
        <v>61</v>
      </c>
      <c r="B34" s="150"/>
      <c r="C34" s="140" t="s">
        <v>62</v>
      </c>
      <c r="D34" s="141"/>
      <c r="E34" s="142"/>
      <c r="F34" s="133" t="s">
        <v>61</v>
      </c>
      <c r="G34" s="134"/>
      <c r="H34" s="103" t="s">
        <v>62</v>
      </c>
      <c r="I34" s="104"/>
      <c r="J34" s="105"/>
    </row>
    <row r="35" spans="1:10" ht="13" customHeight="1">
      <c r="A35" s="88" t="s">
        <v>63</v>
      </c>
      <c r="B35" s="89"/>
      <c r="C35" s="145" t="s">
        <v>64</v>
      </c>
      <c r="D35" s="146"/>
      <c r="E35" s="144"/>
      <c r="F35" s="88" t="s">
        <v>63</v>
      </c>
      <c r="G35" s="89"/>
      <c r="H35" s="34" t="s">
        <v>65</v>
      </c>
      <c r="I35" s="143" t="s">
        <v>65</v>
      </c>
      <c r="J35" s="144"/>
    </row>
    <row r="36" spans="1:10" ht="13" customHeight="1">
      <c r="A36" s="82" t="s">
        <v>66</v>
      </c>
      <c r="B36" s="83"/>
      <c r="C36" s="85" t="s">
        <v>67</v>
      </c>
      <c r="D36" s="86"/>
      <c r="E36" s="74"/>
      <c r="F36" s="82" t="s">
        <v>66</v>
      </c>
      <c r="G36" s="83"/>
      <c r="H36" s="35" t="s">
        <v>68</v>
      </c>
      <c r="I36" s="73" t="s">
        <v>68</v>
      </c>
      <c r="J36" s="74"/>
    </row>
    <row r="37" spans="1:10" ht="13" customHeight="1">
      <c r="A37" s="82" t="s">
        <v>69</v>
      </c>
      <c r="B37" s="83"/>
      <c r="C37" s="85" t="s">
        <v>70</v>
      </c>
      <c r="D37" s="86"/>
      <c r="E37" s="74"/>
      <c r="F37" s="82" t="s">
        <v>69</v>
      </c>
      <c r="G37" s="83"/>
      <c r="H37" s="35" t="s">
        <v>71</v>
      </c>
      <c r="I37" s="73" t="s">
        <v>71</v>
      </c>
      <c r="J37" s="74"/>
    </row>
    <row r="38" spans="1:10" ht="13" customHeight="1">
      <c r="A38" s="82" t="s">
        <v>72</v>
      </c>
      <c r="B38" s="83"/>
      <c r="C38" s="85" t="s">
        <v>73</v>
      </c>
      <c r="D38" s="86"/>
      <c r="E38" s="74"/>
      <c r="F38" s="82" t="s">
        <v>72</v>
      </c>
      <c r="G38" s="83"/>
      <c r="H38" s="35" t="s">
        <v>74</v>
      </c>
      <c r="I38" s="73" t="s">
        <v>74</v>
      </c>
      <c r="J38" s="74"/>
    </row>
    <row r="39" spans="1:10" ht="13" customHeight="1">
      <c r="A39" s="82" t="s">
        <v>75</v>
      </c>
      <c r="B39" s="83"/>
      <c r="C39" s="85" t="s">
        <v>76</v>
      </c>
      <c r="D39" s="86"/>
      <c r="E39" s="74"/>
      <c r="F39" s="82" t="s">
        <v>75</v>
      </c>
      <c r="G39" s="83"/>
      <c r="H39" s="35" t="s">
        <v>77</v>
      </c>
      <c r="I39" s="73" t="s">
        <v>77</v>
      </c>
      <c r="J39" s="74"/>
    </row>
    <row r="40" spans="1:10" ht="13" customHeight="1">
      <c r="A40" s="82" t="s">
        <v>78</v>
      </c>
      <c r="B40" s="83"/>
      <c r="C40" s="85" t="s">
        <v>79</v>
      </c>
      <c r="D40" s="86"/>
      <c r="E40" s="74"/>
      <c r="F40" s="82" t="s">
        <v>78</v>
      </c>
      <c r="G40" s="83"/>
      <c r="H40" s="35" t="s">
        <v>80</v>
      </c>
      <c r="I40" s="73" t="s">
        <v>80</v>
      </c>
      <c r="J40" s="74"/>
    </row>
    <row r="41" spans="1:10" ht="13" customHeight="1">
      <c r="A41" s="82" t="s">
        <v>81</v>
      </c>
      <c r="B41" s="83"/>
      <c r="C41" s="85" t="s">
        <v>76</v>
      </c>
      <c r="D41" s="86"/>
      <c r="E41" s="74"/>
      <c r="F41" s="82" t="s">
        <v>81</v>
      </c>
      <c r="G41" s="83"/>
      <c r="H41" s="35" t="s">
        <v>82</v>
      </c>
      <c r="I41" s="73" t="s">
        <v>82</v>
      </c>
      <c r="J41" s="74"/>
    </row>
    <row r="42" spans="1:10" ht="13" customHeight="1">
      <c r="A42" s="82" t="s">
        <v>83</v>
      </c>
      <c r="B42" s="83"/>
      <c r="C42" s="85" t="s">
        <v>84</v>
      </c>
      <c r="D42" s="86"/>
      <c r="E42" s="74"/>
      <c r="F42" s="82" t="s">
        <v>83</v>
      </c>
      <c r="G42" s="83"/>
      <c r="H42" s="35" t="s">
        <v>85</v>
      </c>
      <c r="I42" s="73" t="s">
        <v>85</v>
      </c>
      <c r="J42" s="74"/>
    </row>
    <row r="43" spans="1:10" ht="13" customHeight="1">
      <c r="A43" s="82" t="s">
        <v>86</v>
      </c>
      <c r="B43" s="83"/>
      <c r="C43" s="85" t="s">
        <v>87</v>
      </c>
      <c r="D43" s="86"/>
      <c r="E43" s="74"/>
      <c r="F43" s="82" t="s">
        <v>86</v>
      </c>
      <c r="G43" s="83"/>
      <c r="H43" s="35" t="s">
        <v>88</v>
      </c>
      <c r="I43" s="73" t="s">
        <v>89</v>
      </c>
      <c r="J43" s="74"/>
    </row>
    <row r="44" spans="1:10" ht="13" customHeight="1">
      <c r="A44" s="82" t="s">
        <v>90</v>
      </c>
      <c r="B44" s="83"/>
      <c r="C44" s="85" t="s">
        <v>91</v>
      </c>
      <c r="D44" s="86"/>
      <c r="E44" s="74"/>
      <c r="F44" s="82" t="s">
        <v>90</v>
      </c>
      <c r="G44" s="83"/>
      <c r="H44" s="35" t="s">
        <v>92</v>
      </c>
      <c r="I44" s="73" t="s">
        <v>92</v>
      </c>
      <c r="J44" s="74"/>
    </row>
    <row r="45" spans="1:10" ht="13" customHeight="1">
      <c r="A45" s="82" t="s">
        <v>93</v>
      </c>
      <c r="B45" s="83"/>
      <c r="C45" s="85" t="s">
        <v>94</v>
      </c>
      <c r="D45" s="86"/>
      <c r="E45" s="74"/>
      <c r="F45" s="82" t="s">
        <v>93</v>
      </c>
      <c r="G45" s="83"/>
      <c r="H45" s="35" t="s">
        <v>95</v>
      </c>
      <c r="I45" s="73" t="s">
        <v>95</v>
      </c>
      <c r="J45" s="74"/>
    </row>
    <row r="46" spans="1:10" ht="13" customHeight="1">
      <c r="A46" s="126" t="s">
        <v>96</v>
      </c>
      <c r="B46" s="127"/>
      <c r="C46" s="135" t="s">
        <v>97</v>
      </c>
      <c r="D46" s="136"/>
      <c r="E46" s="132"/>
      <c r="F46" s="126" t="s">
        <v>96</v>
      </c>
      <c r="G46" s="127"/>
      <c r="H46" s="36" t="s">
        <v>98</v>
      </c>
      <c r="I46" s="131" t="s">
        <v>98</v>
      </c>
      <c r="J46" s="132"/>
    </row>
    <row r="47" spans="1:10" ht="13" customHeight="1">
      <c r="A47" s="37"/>
      <c r="B47" s="38"/>
      <c r="C47" s="39"/>
      <c r="D47" s="40"/>
      <c r="E47" s="33"/>
      <c r="F47" s="41"/>
      <c r="G47" s="33"/>
      <c r="H47" s="42"/>
      <c r="I47" s="42"/>
    </row>
    <row r="48" spans="1:10" ht="13" customHeight="1">
      <c r="A48" s="130" t="s">
        <v>99</v>
      </c>
      <c r="B48" s="110"/>
      <c r="C48" s="110"/>
      <c r="D48" s="110"/>
      <c r="E48" s="110"/>
      <c r="F48" s="110"/>
      <c r="G48" s="110"/>
      <c r="H48" s="110"/>
      <c r="I48" s="110"/>
      <c r="J48" s="111"/>
    </row>
    <row r="49" spans="1:10" ht="13" customHeight="1">
      <c r="A49" s="115"/>
      <c r="B49" s="116"/>
      <c r="C49" s="116"/>
      <c r="D49" s="116"/>
      <c r="E49" s="116"/>
      <c r="F49" s="116"/>
      <c r="G49" s="116"/>
      <c r="H49" s="116"/>
      <c r="I49" s="116"/>
      <c r="J49" s="117"/>
    </row>
    <row r="50" spans="1:10" ht="12" customHeight="1">
      <c r="A50" s="109" t="s">
        <v>100</v>
      </c>
      <c r="B50" s="110"/>
      <c r="C50" s="110"/>
      <c r="D50" s="110"/>
      <c r="E50" s="110"/>
      <c r="F50" s="110"/>
      <c r="G50" s="110"/>
      <c r="H50" s="110"/>
      <c r="I50" s="110"/>
      <c r="J50" s="111"/>
    </row>
    <row r="51" spans="1:10" ht="12" customHeight="1">
      <c r="A51" s="112"/>
      <c r="B51" s="113"/>
      <c r="C51" s="113"/>
      <c r="D51" s="113"/>
      <c r="E51" s="113"/>
      <c r="F51" s="113"/>
      <c r="G51" s="113"/>
      <c r="H51" s="113"/>
      <c r="I51" s="113"/>
      <c r="J51" s="114"/>
    </row>
    <row r="52" spans="1:10" ht="12" customHeight="1">
      <c r="A52" s="112"/>
      <c r="B52" s="113"/>
      <c r="C52" s="113"/>
      <c r="D52" s="113"/>
      <c r="E52" s="113"/>
      <c r="F52" s="113"/>
      <c r="G52" s="113"/>
      <c r="H52" s="113"/>
      <c r="I52" s="113"/>
      <c r="J52" s="114"/>
    </row>
    <row r="53" spans="1:10" ht="12" customHeight="1">
      <c r="A53" s="112"/>
      <c r="B53" s="113"/>
      <c r="C53" s="113"/>
      <c r="D53" s="113"/>
      <c r="E53" s="113"/>
      <c r="F53" s="113"/>
      <c r="G53" s="113"/>
      <c r="H53" s="113"/>
      <c r="I53" s="113"/>
      <c r="J53" s="114"/>
    </row>
    <row r="54" spans="1:10" ht="12" customHeight="1">
      <c r="A54" s="112"/>
      <c r="B54" s="113"/>
      <c r="C54" s="113"/>
      <c r="D54" s="113"/>
      <c r="E54" s="113"/>
      <c r="F54" s="113"/>
      <c r="G54" s="113"/>
      <c r="H54" s="113"/>
      <c r="I54" s="113"/>
      <c r="J54" s="114"/>
    </row>
    <row r="55" spans="1:10" ht="12" customHeight="1">
      <c r="A55" s="112"/>
      <c r="B55" s="113"/>
      <c r="C55" s="113"/>
      <c r="D55" s="113"/>
      <c r="E55" s="113"/>
      <c r="F55" s="113"/>
      <c r="G55" s="113"/>
      <c r="H55" s="113"/>
      <c r="I55" s="113"/>
      <c r="J55" s="114"/>
    </row>
    <row r="56" spans="1:10" ht="12" customHeight="1">
      <c r="A56" s="112"/>
      <c r="B56" s="113"/>
      <c r="C56" s="113"/>
      <c r="D56" s="113"/>
      <c r="E56" s="113"/>
      <c r="F56" s="113"/>
      <c r="G56" s="113"/>
      <c r="H56" s="113"/>
      <c r="I56" s="113"/>
      <c r="J56" s="114"/>
    </row>
    <row r="57" spans="1:10" ht="12" customHeight="1">
      <c r="A57" s="112"/>
      <c r="B57" s="113"/>
      <c r="C57" s="113"/>
      <c r="D57" s="113"/>
      <c r="E57" s="113"/>
      <c r="F57" s="113"/>
      <c r="G57" s="113"/>
      <c r="H57" s="113"/>
      <c r="I57" s="113"/>
      <c r="J57" s="114"/>
    </row>
    <row r="58" spans="1:10" ht="12" customHeight="1">
      <c r="A58" s="112"/>
      <c r="B58" s="113"/>
      <c r="C58" s="113"/>
      <c r="D58" s="113"/>
      <c r="E58" s="113"/>
      <c r="F58" s="113"/>
      <c r="G58" s="113"/>
      <c r="H58" s="113"/>
      <c r="I58" s="113"/>
      <c r="J58" s="114"/>
    </row>
    <row r="59" spans="1:10" ht="12" customHeight="1">
      <c r="A59" s="112"/>
      <c r="B59" s="113"/>
      <c r="C59" s="113"/>
      <c r="D59" s="113"/>
      <c r="E59" s="113"/>
      <c r="F59" s="113"/>
      <c r="G59" s="113"/>
      <c r="H59" s="113"/>
      <c r="I59" s="113"/>
      <c r="J59" s="114"/>
    </row>
    <row r="60" spans="1:10" ht="12" customHeight="1">
      <c r="A60" s="112"/>
      <c r="B60" s="113"/>
      <c r="C60" s="113"/>
      <c r="D60" s="113"/>
      <c r="E60" s="113"/>
      <c r="F60" s="113"/>
      <c r="G60" s="113"/>
      <c r="H60" s="113"/>
      <c r="I60" s="113"/>
      <c r="J60" s="114"/>
    </row>
    <row r="61" spans="1:10" ht="12" customHeight="1">
      <c r="A61" s="112"/>
      <c r="B61" s="113"/>
      <c r="C61" s="113"/>
      <c r="D61" s="113"/>
      <c r="E61" s="113"/>
      <c r="F61" s="113"/>
      <c r="G61" s="113"/>
      <c r="H61" s="113"/>
      <c r="I61" s="113"/>
      <c r="J61" s="114"/>
    </row>
    <row r="62" spans="1:10" ht="12" customHeight="1">
      <c r="A62" s="112"/>
      <c r="B62" s="113"/>
      <c r="C62" s="113"/>
      <c r="D62" s="113"/>
      <c r="E62" s="113"/>
      <c r="F62" s="113"/>
      <c r="G62" s="113"/>
      <c r="H62" s="113"/>
      <c r="I62" s="113"/>
      <c r="J62" s="114"/>
    </row>
    <row r="63" spans="1:10" ht="12" customHeight="1">
      <c r="A63" s="112"/>
      <c r="B63" s="113"/>
      <c r="C63" s="113"/>
      <c r="D63" s="113"/>
      <c r="E63" s="113"/>
      <c r="F63" s="113"/>
      <c r="G63" s="113"/>
      <c r="H63" s="113"/>
      <c r="I63" s="113"/>
      <c r="J63" s="114"/>
    </row>
    <row r="64" spans="1:10" ht="12" customHeight="1">
      <c r="A64" s="112"/>
      <c r="B64" s="113"/>
      <c r="C64" s="113"/>
      <c r="D64" s="113"/>
      <c r="E64" s="113"/>
      <c r="F64" s="113"/>
      <c r="G64" s="113"/>
      <c r="H64" s="113"/>
      <c r="I64" s="113"/>
      <c r="J64" s="114"/>
    </row>
    <row r="65" spans="1:10" ht="12" customHeight="1">
      <c r="A65" s="112"/>
      <c r="B65" s="113"/>
      <c r="C65" s="113"/>
      <c r="D65" s="113"/>
      <c r="E65" s="113"/>
      <c r="F65" s="113"/>
      <c r="G65" s="113"/>
      <c r="H65" s="113"/>
      <c r="I65" s="113"/>
      <c r="J65" s="114"/>
    </row>
    <row r="66" spans="1:10" ht="12" customHeight="1">
      <c r="A66" s="112"/>
      <c r="B66" s="113"/>
      <c r="C66" s="113"/>
      <c r="D66" s="113"/>
      <c r="E66" s="113"/>
      <c r="F66" s="113"/>
      <c r="G66" s="113"/>
      <c r="H66" s="113"/>
      <c r="I66" s="113"/>
      <c r="J66" s="114"/>
    </row>
    <row r="67" spans="1:10" ht="12" customHeight="1">
      <c r="A67" s="112"/>
      <c r="B67" s="113"/>
      <c r="C67" s="113"/>
      <c r="D67" s="113"/>
      <c r="E67" s="113"/>
      <c r="F67" s="113"/>
      <c r="G67" s="113"/>
      <c r="H67" s="113"/>
      <c r="I67" s="113"/>
      <c r="J67" s="114"/>
    </row>
    <row r="68" spans="1:10" ht="12" customHeight="1">
      <c r="A68" s="115"/>
      <c r="B68" s="116"/>
      <c r="C68" s="116"/>
      <c r="D68" s="116"/>
      <c r="E68" s="116"/>
      <c r="F68" s="116"/>
      <c r="G68" s="116"/>
      <c r="H68" s="116"/>
      <c r="I68" s="116"/>
      <c r="J68" s="117"/>
    </row>
    <row r="69" spans="1:10" ht="13" customHeight="1">
      <c r="A69" s="42"/>
      <c r="B69" s="38"/>
      <c r="C69" s="42"/>
      <c r="D69" s="41"/>
      <c r="E69" s="41"/>
      <c r="F69" s="41"/>
      <c r="G69" s="33"/>
      <c r="H69" s="42"/>
      <c r="I69" s="42"/>
      <c r="J69" s="42"/>
    </row>
    <row r="70" spans="1:10" ht="13" customHeight="1">
      <c r="A70" s="43" t="s">
        <v>61</v>
      </c>
      <c r="B70" s="44" t="s">
        <v>101</v>
      </c>
      <c r="C70" s="43" t="s">
        <v>102</v>
      </c>
      <c r="D70" s="107" t="s">
        <v>62</v>
      </c>
      <c r="E70" s="76"/>
      <c r="F70" s="77"/>
      <c r="G70" s="45" t="s">
        <v>103</v>
      </c>
      <c r="H70" s="45" t="s">
        <v>104</v>
      </c>
      <c r="I70" s="46" t="s">
        <v>105</v>
      </c>
      <c r="J70" s="46" t="s">
        <v>106</v>
      </c>
    </row>
    <row r="71" spans="1:10" ht="22" customHeight="1">
      <c r="A71" s="128" t="s">
        <v>107</v>
      </c>
      <c r="B71" s="123"/>
      <c r="C71" s="123"/>
      <c r="D71" s="123"/>
      <c r="E71" s="123"/>
      <c r="F71" s="123"/>
      <c r="G71" s="123"/>
      <c r="H71" s="123"/>
      <c r="I71" s="123"/>
      <c r="J71" s="124"/>
    </row>
    <row r="72" spans="1:10" ht="14" customHeight="1">
      <c r="A72" s="106" t="s">
        <v>108</v>
      </c>
      <c r="B72" s="148" t="s">
        <v>109</v>
      </c>
      <c r="C72" s="47">
        <v>1</v>
      </c>
      <c r="D72" s="81" t="s">
        <v>110</v>
      </c>
      <c r="E72" s="76"/>
      <c r="F72" s="77"/>
      <c r="G72" s="48"/>
      <c r="H72" s="49">
        <f t="shared" ref="H72:H81" si="0">IF(G72="〇", 1, IF(G72="△", 0.5, 0))</f>
        <v>0</v>
      </c>
      <c r="I72" s="50" t="s">
        <v>111</v>
      </c>
      <c r="J72" s="51" t="s">
        <v>112</v>
      </c>
    </row>
    <row r="73" spans="1:10" ht="14" customHeight="1">
      <c r="A73" s="94"/>
      <c r="B73" s="94"/>
      <c r="C73" s="47">
        <v>2</v>
      </c>
      <c r="D73" s="81" t="s">
        <v>113</v>
      </c>
      <c r="E73" s="76"/>
      <c r="F73" s="77"/>
      <c r="G73" s="48"/>
      <c r="H73" s="49">
        <f t="shared" si="0"/>
        <v>0</v>
      </c>
      <c r="I73" s="50" t="s">
        <v>111</v>
      </c>
      <c r="J73" s="52" t="s">
        <v>112</v>
      </c>
    </row>
    <row r="74" spans="1:10" ht="14" customHeight="1">
      <c r="A74" s="94"/>
      <c r="B74" s="95"/>
      <c r="C74" s="47">
        <v>3</v>
      </c>
      <c r="D74" s="81" t="s">
        <v>114</v>
      </c>
      <c r="E74" s="76"/>
      <c r="F74" s="77"/>
      <c r="G74" s="48"/>
      <c r="H74" s="49">
        <f t="shared" si="0"/>
        <v>0</v>
      </c>
      <c r="I74" s="50" t="s">
        <v>115</v>
      </c>
      <c r="J74" s="51" t="s">
        <v>116</v>
      </c>
    </row>
    <row r="75" spans="1:10" ht="13" customHeight="1">
      <c r="A75" s="94"/>
      <c r="B75" s="148" t="s">
        <v>117</v>
      </c>
      <c r="C75" s="47">
        <v>4</v>
      </c>
      <c r="D75" s="81" t="s">
        <v>118</v>
      </c>
      <c r="E75" s="76"/>
      <c r="F75" s="77"/>
      <c r="G75" s="48"/>
      <c r="H75" s="49">
        <f t="shared" si="0"/>
        <v>0</v>
      </c>
      <c r="I75" s="50" t="s">
        <v>119</v>
      </c>
      <c r="J75" s="52"/>
    </row>
    <row r="76" spans="1:10" ht="14" customHeight="1">
      <c r="A76" s="94"/>
      <c r="B76" s="94"/>
      <c r="C76" s="47">
        <v>5</v>
      </c>
      <c r="D76" s="81" t="s">
        <v>120</v>
      </c>
      <c r="E76" s="76"/>
      <c r="F76" s="77"/>
      <c r="G76" s="48"/>
      <c r="H76" s="49">
        <f t="shared" si="0"/>
        <v>0</v>
      </c>
      <c r="I76" s="50" t="s">
        <v>121</v>
      </c>
      <c r="J76" s="51" t="s">
        <v>122</v>
      </c>
    </row>
    <row r="77" spans="1:10" ht="13" customHeight="1">
      <c r="A77" s="94"/>
      <c r="B77" s="94"/>
      <c r="C77" s="47">
        <v>6</v>
      </c>
      <c r="D77" s="81" t="s">
        <v>123</v>
      </c>
      <c r="E77" s="76"/>
      <c r="F77" s="77"/>
      <c r="G77" s="48"/>
      <c r="H77" s="49">
        <f t="shared" si="0"/>
        <v>0</v>
      </c>
      <c r="I77" s="50" t="s">
        <v>124</v>
      </c>
      <c r="J77" s="51"/>
    </row>
    <row r="78" spans="1:10" ht="14" customHeight="1">
      <c r="A78" s="94"/>
      <c r="B78" s="95"/>
      <c r="C78" s="47">
        <v>7</v>
      </c>
      <c r="D78" s="81" t="s">
        <v>125</v>
      </c>
      <c r="E78" s="76"/>
      <c r="F78" s="77"/>
      <c r="G78" s="48"/>
      <c r="H78" s="49">
        <f t="shared" si="0"/>
        <v>0</v>
      </c>
      <c r="I78" s="50" t="s">
        <v>126</v>
      </c>
      <c r="J78" s="51" t="s">
        <v>127</v>
      </c>
    </row>
    <row r="79" spans="1:10" ht="13" customHeight="1">
      <c r="A79" s="94"/>
      <c r="B79" s="154" t="s">
        <v>128</v>
      </c>
      <c r="C79" s="53">
        <v>8</v>
      </c>
      <c r="D79" s="81" t="s">
        <v>129</v>
      </c>
      <c r="E79" s="76"/>
      <c r="F79" s="77"/>
      <c r="G79" s="48"/>
      <c r="H79" s="49">
        <f t="shared" si="0"/>
        <v>0</v>
      </c>
      <c r="I79" s="50" t="s">
        <v>130</v>
      </c>
      <c r="J79" s="51"/>
    </row>
    <row r="80" spans="1:10" ht="14" customHeight="1">
      <c r="A80" s="94"/>
      <c r="B80" s="122"/>
      <c r="C80" s="53">
        <v>9</v>
      </c>
      <c r="D80" s="81" t="s">
        <v>131</v>
      </c>
      <c r="E80" s="76"/>
      <c r="F80" s="77"/>
      <c r="G80" s="48"/>
      <c r="H80" s="49">
        <f t="shared" si="0"/>
        <v>0</v>
      </c>
      <c r="I80" s="50" t="s">
        <v>132</v>
      </c>
      <c r="J80" s="51" t="s">
        <v>133</v>
      </c>
    </row>
    <row r="81" spans="1:10" ht="14" customHeight="1">
      <c r="A81" s="95"/>
      <c r="B81" s="122"/>
      <c r="C81" s="53">
        <v>10</v>
      </c>
      <c r="D81" s="81" t="s">
        <v>134</v>
      </c>
      <c r="E81" s="76"/>
      <c r="F81" s="77"/>
      <c r="G81" s="48"/>
      <c r="H81" s="49">
        <f t="shared" si="0"/>
        <v>0</v>
      </c>
      <c r="I81" s="50" t="s">
        <v>135</v>
      </c>
      <c r="J81" s="51" t="s">
        <v>136</v>
      </c>
    </row>
    <row r="82" spans="1:10" ht="22" customHeight="1">
      <c r="A82" s="128" t="s">
        <v>137</v>
      </c>
      <c r="B82" s="123"/>
      <c r="C82" s="123"/>
      <c r="D82" s="123"/>
      <c r="E82" s="123"/>
      <c r="F82" s="123"/>
      <c r="G82" s="123"/>
      <c r="H82" s="123"/>
      <c r="I82" s="123"/>
      <c r="J82" s="124"/>
    </row>
    <row r="83" spans="1:10" ht="13" customHeight="1">
      <c r="A83" s="99" t="s">
        <v>43</v>
      </c>
      <c r="B83" s="129" t="s">
        <v>138</v>
      </c>
      <c r="C83" s="54">
        <v>1</v>
      </c>
      <c r="D83" s="118" t="s">
        <v>139</v>
      </c>
      <c r="E83" s="76"/>
      <c r="F83" s="77"/>
      <c r="G83" s="48" t="s">
        <v>140</v>
      </c>
      <c r="H83" s="49">
        <f t="shared" ref="H83:H114" si="1">IF(G83="〇", 1, IF(G83="△", 0.5, 0))</f>
        <v>1</v>
      </c>
      <c r="I83" s="56"/>
      <c r="J83" s="57"/>
    </row>
    <row r="84" spans="1:10" ht="42" customHeight="1">
      <c r="A84" s="100"/>
      <c r="B84" s="94"/>
      <c r="C84" s="54">
        <v>2</v>
      </c>
      <c r="D84" s="75" t="s">
        <v>141</v>
      </c>
      <c r="E84" s="76"/>
      <c r="F84" s="77"/>
      <c r="G84" s="48" t="s">
        <v>140</v>
      </c>
      <c r="H84" s="49">
        <f t="shared" si="1"/>
        <v>1</v>
      </c>
      <c r="I84" s="58" t="s">
        <v>142</v>
      </c>
      <c r="J84" s="59"/>
    </row>
    <row r="85" spans="1:10" ht="56" customHeight="1">
      <c r="A85" s="100"/>
      <c r="B85" s="94"/>
      <c r="C85" s="54">
        <v>3</v>
      </c>
      <c r="D85" s="75" t="s">
        <v>143</v>
      </c>
      <c r="E85" s="76"/>
      <c r="F85" s="77"/>
      <c r="G85" s="48" t="s">
        <v>140</v>
      </c>
      <c r="H85" s="49">
        <f t="shared" si="1"/>
        <v>1</v>
      </c>
      <c r="I85" s="58" t="s">
        <v>144</v>
      </c>
      <c r="J85" s="59"/>
    </row>
    <row r="86" spans="1:10" ht="13" customHeight="1">
      <c r="A86" s="100"/>
      <c r="B86" s="94"/>
      <c r="C86" s="54">
        <v>4</v>
      </c>
      <c r="D86" s="75" t="s">
        <v>145</v>
      </c>
      <c r="E86" s="76"/>
      <c r="F86" s="77"/>
      <c r="G86" s="48" t="s">
        <v>140</v>
      </c>
      <c r="H86" s="49">
        <f t="shared" si="1"/>
        <v>1</v>
      </c>
      <c r="I86" s="60"/>
      <c r="J86" s="61"/>
    </row>
    <row r="87" spans="1:10" ht="13" customHeight="1">
      <c r="A87" s="100"/>
      <c r="B87" s="94"/>
      <c r="C87" s="54">
        <v>5</v>
      </c>
      <c r="D87" s="75" t="s">
        <v>146</v>
      </c>
      <c r="E87" s="76"/>
      <c r="F87" s="77"/>
      <c r="G87" s="48" t="s">
        <v>140</v>
      </c>
      <c r="H87" s="49">
        <f t="shared" si="1"/>
        <v>1</v>
      </c>
      <c r="I87" s="58"/>
      <c r="J87" s="59"/>
    </row>
    <row r="88" spans="1:10" ht="13" customHeight="1">
      <c r="A88" s="100"/>
      <c r="B88" s="94"/>
      <c r="C88" s="54">
        <v>6</v>
      </c>
      <c r="D88" s="75" t="s">
        <v>147</v>
      </c>
      <c r="E88" s="76"/>
      <c r="F88" s="77"/>
      <c r="G88" s="48" t="s">
        <v>140</v>
      </c>
      <c r="H88" s="49">
        <f t="shared" si="1"/>
        <v>1</v>
      </c>
      <c r="I88" s="60"/>
      <c r="J88" s="61"/>
    </row>
    <row r="89" spans="1:10" ht="13" customHeight="1">
      <c r="A89" s="100"/>
      <c r="B89" s="94"/>
      <c r="C89" s="54">
        <v>7</v>
      </c>
      <c r="D89" s="81" t="s">
        <v>148</v>
      </c>
      <c r="E89" s="76"/>
      <c r="F89" s="77"/>
      <c r="G89" s="48" t="s">
        <v>140</v>
      </c>
      <c r="H89" s="49">
        <f t="shared" si="1"/>
        <v>1</v>
      </c>
      <c r="I89" s="60"/>
      <c r="J89" s="61"/>
    </row>
    <row r="90" spans="1:10" ht="13" customHeight="1">
      <c r="A90" s="100"/>
      <c r="B90" s="95"/>
      <c r="C90" s="54">
        <v>8</v>
      </c>
      <c r="D90" s="81" t="s">
        <v>149</v>
      </c>
      <c r="E90" s="76"/>
      <c r="F90" s="77"/>
      <c r="G90" s="48"/>
      <c r="H90" s="49">
        <f t="shared" si="1"/>
        <v>0</v>
      </c>
      <c r="I90" s="60"/>
      <c r="J90" s="61"/>
    </row>
    <row r="91" spans="1:10" ht="13" customHeight="1">
      <c r="A91" s="100"/>
      <c r="B91" s="129" t="s">
        <v>150</v>
      </c>
      <c r="C91" s="54">
        <v>9</v>
      </c>
      <c r="D91" s="75" t="s">
        <v>151</v>
      </c>
      <c r="E91" s="76"/>
      <c r="F91" s="77"/>
      <c r="G91" s="48" t="s">
        <v>152</v>
      </c>
      <c r="H91" s="49">
        <f t="shared" si="1"/>
        <v>0.5</v>
      </c>
      <c r="I91" s="60"/>
      <c r="J91" s="59"/>
    </row>
    <row r="92" spans="1:10" ht="13" customHeight="1">
      <c r="A92" s="100"/>
      <c r="B92" s="94"/>
      <c r="C92" s="54">
        <v>10</v>
      </c>
      <c r="D92" s="118" t="s">
        <v>153</v>
      </c>
      <c r="E92" s="76"/>
      <c r="F92" s="77"/>
      <c r="G92" s="48" t="s">
        <v>140</v>
      </c>
      <c r="H92" s="49">
        <f t="shared" si="1"/>
        <v>1</v>
      </c>
      <c r="I92" s="60"/>
      <c r="J92" s="61"/>
    </row>
    <row r="93" spans="1:10" ht="13" customHeight="1">
      <c r="A93" s="100"/>
      <c r="B93" s="94"/>
      <c r="C93" s="54">
        <v>11</v>
      </c>
      <c r="D93" s="118" t="s">
        <v>154</v>
      </c>
      <c r="E93" s="76"/>
      <c r="F93" s="77"/>
      <c r="G93" s="48" t="s">
        <v>140</v>
      </c>
      <c r="H93" s="49">
        <f t="shared" si="1"/>
        <v>1</v>
      </c>
      <c r="I93" s="62"/>
      <c r="J93" s="63"/>
    </row>
    <row r="94" spans="1:10" ht="13" customHeight="1">
      <c r="A94" s="100"/>
      <c r="B94" s="94"/>
      <c r="C94" s="54">
        <v>12</v>
      </c>
      <c r="D94" s="75" t="s">
        <v>155</v>
      </c>
      <c r="E94" s="76"/>
      <c r="F94" s="77"/>
      <c r="G94" s="48" t="s">
        <v>140</v>
      </c>
      <c r="H94" s="55">
        <f t="shared" si="1"/>
        <v>1</v>
      </c>
      <c r="I94" s="64"/>
      <c r="J94" s="65"/>
    </row>
    <row r="95" spans="1:10" ht="13" customHeight="1">
      <c r="A95" s="100"/>
      <c r="B95" s="95"/>
      <c r="C95" s="54">
        <v>13</v>
      </c>
      <c r="D95" s="118" t="s">
        <v>156</v>
      </c>
      <c r="E95" s="76"/>
      <c r="F95" s="77"/>
      <c r="G95" s="48" t="s">
        <v>140</v>
      </c>
      <c r="H95" s="55">
        <f t="shared" si="1"/>
        <v>1</v>
      </c>
      <c r="I95" s="64"/>
      <c r="J95" s="64"/>
    </row>
    <row r="96" spans="1:10" ht="13" customHeight="1">
      <c r="A96" s="100"/>
      <c r="B96" s="66"/>
      <c r="C96" s="67">
        <v>14</v>
      </c>
      <c r="D96" s="75" t="s">
        <v>157</v>
      </c>
      <c r="E96" s="76"/>
      <c r="F96" s="77"/>
      <c r="G96" s="48" t="s">
        <v>158</v>
      </c>
      <c r="H96" s="55">
        <f t="shared" si="1"/>
        <v>0</v>
      </c>
      <c r="I96" s="64"/>
      <c r="J96" s="65"/>
    </row>
    <row r="97" spans="1:10" ht="13" customHeight="1">
      <c r="A97" s="100"/>
      <c r="B97" s="66"/>
      <c r="C97" s="67">
        <v>15</v>
      </c>
      <c r="D97" s="75" t="s">
        <v>159</v>
      </c>
      <c r="E97" s="76"/>
      <c r="F97" s="77"/>
      <c r="G97" s="48" t="s">
        <v>152</v>
      </c>
      <c r="H97" s="55">
        <f t="shared" si="1"/>
        <v>0.5</v>
      </c>
      <c r="I97" s="64"/>
      <c r="J97" s="65"/>
    </row>
    <row r="98" spans="1:10" ht="13" customHeight="1">
      <c r="A98" s="100"/>
      <c r="B98" s="66"/>
      <c r="C98" s="67">
        <v>16</v>
      </c>
      <c r="D98" s="75" t="s">
        <v>160</v>
      </c>
      <c r="E98" s="76"/>
      <c r="F98" s="77"/>
      <c r="G98" s="48" t="s">
        <v>140</v>
      </c>
      <c r="H98" s="55">
        <f t="shared" si="1"/>
        <v>1</v>
      </c>
      <c r="I98" s="64"/>
      <c r="J98" s="64"/>
    </row>
    <row r="99" spans="1:10" ht="13" customHeight="1">
      <c r="A99" s="100"/>
      <c r="B99" s="66" t="s">
        <v>161</v>
      </c>
      <c r="C99" s="67">
        <v>17</v>
      </c>
      <c r="D99" s="75" t="s">
        <v>162</v>
      </c>
      <c r="E99" s="76"/>
      <c r="F99" s="77"/>
      <c r="G99" s="48" t="s">
        <v>140</v>
      </c>
      <c r="H99" s="55">
        <f t="shared" si="1"/>
        <v>1</v>
      </c>
      <c r="I99" s="64"/>
      <c r="J99" s="64"/>
    </row>
    <row r="100" spans="1:10" ht="13" customHeight="1">
      <c r="A100" s="100"/>
      <c r="B100" s="66"/>
      <c r="C100" s="67">
        <v>18</v>
      </c>
      <c r="D100" s="75" t="s">
        <v>163</v>
      </c>
      <c r="E100" s="76"/>
      <c r="F100" s="77"/>
      <c r="G100" s="48" t="s">
        <v>152</v>
      </c>
      <c r="H100" s="55">
        <f t="shared" si="1"/>
        <v>0.5</v>
      </c>
      <c r="I100" s="64"/>
      <c r="J100" s="65"/>
    </row>
    <row r="101" spans="1:10" ht="13" customHeight="1">
      <c r="A101" s="100"/>
      <c r="B101" s="66"/>
      <c r="C101" s="67">
        <v>19</v>
      </c>
      <c r="D101" s="81" t="s">
        <v>164</v>
      </c>
      <c r="E101" s="76"/>
      <c r="F101" s="77"/>
      <c r="G101" s="48" t="s">
        <v>140</v>
      </c>
      <c r="H101" s="55">
        <f t="shared" si="1"/>
        <v>1</v>
      </c>
      <c r="I101" s="64"/>
      <c r="J101" s="65"/>
    </row>
    <row r="102" spans="1:10" ht="13" customHeight="1">
      <c r="A102" s="100"/>
      <c r="B102" s="66"/>
      <c r="C102" s="67">
        <v>20</v>
      </c>
      <c r="D102" s="81" t="s">
        <v>165</v>
      </c>
      <c r="E102" s="76"/>
      <c r="F102" s="77"/>
      <c r="G102" s="48" t="s">
        <v>152</v>
      </c>
      <c r="H102" s="55">
        <f t="shared" si="1"/>
        <v>0.5</v>
      </c>
      <c r="I102" s="64"/>
      <c r="J102" s="65"/>
    </row>
    <row r="103" spans="1:10" ht="13" customHeight="1">
      <c r="A103" s="100"/>
      <c r="B103" s="66"/>
      <c r="C103" s="67">
        <v>21</v>
      </c>
      <c r="D103" s="81" t="s">
        <v>166</v>
      </c>
      <c r="E103" s="76"/>
      <c r="F103" s="77"/>
      <c r="G103" s="48" t="s">
        <v>140</v>
      </c>
      <c r="H103" s="55">
        <f t="shared" si="1"/>
        <v>1</v>
      </c>
      <c r="I103" s="64"/>
      <c r="J103" s="65"/>
    </row>
    <row r="104" spans="1:10" ht="13" customHeight="1">
      <c r="A104" s="101"/>
      <c r="B104" s="66"/>
      <c r="C104" s="67">
        <v>22</v>
      </c>
      <c r="D104" s="81" t="s">
        <v>167</v>
      </c>
      <c r="E104" s="76"/>
      <c r="F104" s="77"/>
      <c r="G104" s="48" t="s">
        <v>158</v>
      </c>
      <c r="H104" s="55">
        <f t="shared" si="1"/>
        <v>0</v>
      </c>
      <c r="I104" s="64"/>
      <c r="J104" s="65"/>
    </row>
    <row r="105" spans="1:10" ht="13" customHeight="1">
      <c r="A105" s="102" t="s">
        <v>44</v>
      </c>
      <c r="B105" s="90" t="s">
        <v>168</v>
      </c>
      <c r="C105" s="67">
        <v>1</v>
      </c>
      <c r="D105" s="75" t="s">
        <v>169</v>
      </c>
      <c r="E105" s="76"/>
      <c r="F105" s="77"/>
      <c r="G105" s="48" t="s">
        <v>140</v>
      </c>
      <c r="H105" s="55">
        <f t="shared" si="1"/>
        <v>1</v>
      </c>
      <c r="I105" s="64"/>
      <c r="J105" s="65"/>
    </row>
    <row r="106" spans="1:10" ht="13" customHeight="1">
      <c r="A106" s="91"/>
      <c r="B106" s="91"/>
      <c r="C106" s="67">
        <v>2</v>
      </c>
      <c r="D106" s="75" t="s">
        <v>170</v>
      </c>
      <c r="E106" s="76"/>
      <c r="F106" s="77"/>
      <c r="G106" s="48" t="s">
        <v>152</v>
      </c>
      <c r="H106" s="55">
        <f t="shared" si="1"/>
        <v>0.5</v>
      </c>
      <c r="I106" s="64"/>
      <c r="J106" s="65"/>
    </row>
    <row r="107" spans="1:10" ht="13" customHeight="1">
      <c r="A107" s="91"/>
      <c r="B107" s="91"/>
      <c r="C107" s="67">
        <v>3</v>
      </c>
      <c r="D107" s="118" t="s">
        <v>171</v>
      </c>
      <c r="E107" s="76"/>
      <c r="F107" s="77"/>
      <c r="G107" s="48" t="s">
        <v>140</v>
      </c>
      <c r="H107" s="55">
        <f t="shared" si="1"/>
        <v>1</v>
      </c>
      <c r="I107" s="64"/>
      <c r="J107" s="64"/>
    </row>
    <row r="108" spans="1:10" ht="13" customHeight="1">
      <c r="A108" s="91"/>
      <c r="B108" s="91"/>
      <c r="C108" s="67">
        <v>4</v>
      </c>
      <c r="D108" s="75" t="s">
        <v>172</v>
      </c>
      <c r="E108" s="76"/>
      <c r="F108" s="77"/>
      <c r="G108" s="48" t="s">
        <v>140</v>
      </c>
      <c r="H108" s="55">
        <f t="shared" si="1"/>
        <v>1</v>
      </c>
      <c r="I108" s="64"/>
      <c r="J108" s="64"/>
    </row>
    <row r="109" spans="1:10" ht="13" customHeight="1">
      <c r="A109" s="91"/>
      <c r="B109" s="91"/>
      <c r="C109" s="67">
        <v>5</v>
      </c>
      <c r="D109" s="118" t="s">
        <v>173</v>
      </c>
      <c r="E109" s="76"/>
      <c r="F109" s="77"/>
      <c r="G109" s="48" t="s">
        <v>140</v>
      </c>
      <c r="H109" s="55">
        <f t="shared" si="1"/>
        <v>1</v>
      </c>
      <c r="I109" s="64"/>
      <c r="J109" s="64"/>
    </row>
    <row r="110" spans="1:10" ht="13" customHeight="1">
      <c r="A110" s="91"/>
      <c r="B110" s="91"/>
      <c r="C110" s="67">
        <v>6</v>
      </c>
      <c r="D110" s="118" t="s">
        <v>174</v>
      </c>
      <c r="E110" s="76"/>
      <c r="F110" s="77"/>
      <c r="G110" s="48" t="s">
        <v>158</v>
      </c>
      <c r="H110" s="55">
        <f t="shared" si="1"/>
        <v>0</v>
      </c>
      <c r="I110" s="64"/>
      <c r="J110" s="65"/>
    </row>
    <row r="111" spans="1:10" ht="13" customHeight="1">
      <c r="A111" s="91"/>
      <c r="B111" s="91"/>
      <c r="C111" s="67">
        <v>7</v>
      </c>
      <c r="D111" s="118" t="s">
        <v>175</v>
      </c>
      <c r="E111" s="76"/>
      <c r="F111" s="77"/>
      <c r="G111" s="48" t="s">
        <v>140</v>
      </c>
      <c r="H111" s="55">
        <f t="shared" si="1"/>
        <v>1</v>
      </c>
      <c r="I111" s="64"/>
      <c r="J111" s="64"/>
    </row>
    <row r="112" spans="1:10" ht="13" customHeight="1">
      <c r="A112" s="91"/>
      <c r="B112" s="91"/>
      <c r="C112" s="67">
        <v>8</v>
      </c>
      <c r="D112" s="118" t="s">
        <v>176</v>
      </c>
      <c r="E112" s="76"/>
      <c r="F112" s="77"/>
      <c r="G112" s="48" t="s">
        <v>152</v>
      </c>
      <c r="H112" s="55">
        <f t="shared" si="1"/>
        <v>0.5</v>
      </c>
      <c r="I112" s="64"/>
      <c r="J112" s="65"/>
    </row>
    <row r="113" spans="1:10" ht="13" customHeight="1">
      <c r="A113" s="91"/>
      <c r="B113" s="91"/>
      <c r="C113" s="67">
        <v>9</v>
      </c>
      <c r="D113" s="118" t="s">
        <v>177</v>
      </c>
      <c r="E113" s="76"/>
      <c r="F113" s="77"/>
      <c r="G113" s="48" t="s">
        <v>140</v>
      </c>
      <c r="H113" s="55">
        <f t="shared" si="1"/>
        <v>1</v>
      </c>
      <c r="I113" s="64"/>
      <c r="J113" s="65"/>
    </row>
    <row r="114" spans="1:10" ht="13" customHeight="1">
      <c r="A114" s="91"/>
      <c r="B114" s="91"/>
      <c r="C114" s="67">
        <v>10</v>
      </c>
      <c r="D114" s="118" t="s">
        <v>178</v>
      </c>
      <c r="E114" s="76"/>
      <c r="F114" s="77"/>
      <c r="G114" s="48" t="s">
        <v>140</v>
      </c>
      <c r="H114" s="55">
        <f t="shared" si="1"/>
        <v>1</v>
      </c>
      <c r="I114" s="64"/>
      <c r="J114" s="65"/>
    </row>
    <row r="115" spans="1:10" ht="13" customHeight="1">
      <c r="A115" s="91"/>
      <c r="B115" s="91"/>
      <c r="C115" s="67">
        <v>11</v>
      </c>
      <c r="D115" s="75" t="s">
        <v>179</v>
      </c>
      <c r="E115" s="76"/>
      <c r="F115" s="77"/>
      <c r="G115" s="48" t="s">
        <v>158</v>
      </c>
      <c r="H115" s="55">
        <f t="shared" ref="H115:H146" si="2">IF(G115="〇", 1, IF(G115="△", 0.5, 0))</f>
        <v>0</v>
      </c>
      <c r="I115" s="64"/>
      <c r="J115" s="65"/>
    </row>
    <row r="116" spans="1:10" ht="13" customHeight="1">
      <c r="A116" s="91"/>
      <c r="B116" s="92"/>
      <c r="C116" s="67">
        <v>12</v>
      </c>
      <c r="D116" s="75" t="s">
        <v>180</v>
      </c>
      <c r="E116" s="76"/>
      <c r="F116" s="77"/>
      <c r="G116" s="48" t="s">
        <v>140</v>
      </c>
      <c r="H116" s="55">
        <f t="shared" si="2"/>
        <v>1</v>
      </c>
      <c r="I116" s="64"/>
      <c r="J116" s="65"/>
    </row>
    <row r="117" spans="1:10" ht="13" customHeight="1">
      <c r="A117" s="91"/>
      <c r="B117" s="138" t="s">
        <v>181</v>
      </c>
      <c r="C117" s="67">
        <v>13</v>
      </c>
      <c r="D117" s="81" t="s">
        <v>182</v>
      </c>
      <c r="E117" s="76"/>
      <c r="F117" s="77"/>
      <c r="G117" s="48" t="s">
        <v>140</v>
      </c>
      <c r="H117" s="55">
        <f t="shared" si="2"/>
        <v>1</v>
      </c>
      <c r="I117" s="64"/>
      <c r="J117" s="65"/>
    </row>
    <row r="118" spans="1:10" ht="13" customHeight="1">
      <c r="A118" s="91"/>
      <c r="B118" s="91"/>
      <c r="C118" s="67">
        <v>14</v>
      </c>
      <c r="D118" s="81" t="s">
        <v>183</v>
      </c>
      <c r="E118" s="76"/>
      <c r="F118" s="77"/>
      <c r="G118" s="48" t="s">
        <v>140</v>
      </c>
      <c r="H118" s="55">
        <f t="shared" si="2"/>
        <v>1</v>
      </c>
      <c r="I118" s="64"/>
      <c r="J118" s="64"/>
    </row>
    <row r="119" spans="1:10" ht="13" customHeight="1">
      <c r="A119" s="91"/>
      <c r="B119" s="92"/>
      <c r="C119" s="67">
        <v>15</v>
      </c>
      <c r="D119" s="81" t="s">
        <v>184</v>
      </c>
      <c r="E119" s="76"/>
      <c r="F119" s="77"/>
      <c r="G119" s="48" t="s">
        <v>140</v>
      </c>
      <c r="H119" s="55">
        <f t="shared" si="2"/>
        <v>1</v>
      </c>
      <c r="I119" s="64"/>
      <c r="J119" s="64"/>
    </row>
    <row r="120" spans="1:10" ht="13" customHeight="1">
      <c r="A120" s="91"/>
      <c r="B120" s="138" t="s">
        <v>185</v>
      </c>
      <c r="C120" s="67">
        <v>16</v>
      </c>
      <c r="D120" s="75" t="s">
        <v>186</v>
      </c>
      <c r="E120" s="76"/>
      <c r="F120" s="77"/>
      <c r="G120" s="48" t="s">
        <v>140</v>
      </c>
      <c r="H120" s="55">
        <f t="shared" si="2"/>
        <v>1</v>
      </c>
      <c r="I120" s="64"/>
      <c r="J120" s="64"/>
    </row>
    <row r="121" spans="1:10" ht="13" customHeight="1">
      <c r="A121" s="91"/>
      <c r="B121" s="91"/>
      <c r="C121" s="67">
        <v>17</v>
      </c>
      <c r="D121" s="75" t="s">
        <v>187</v>
      </c>
      <c r="E121" s="76"/>
      <c r="F121" s="77"/>
      <c r="G121" s="48" t="s">
        <v>140</v>
      </c>
      <c r="H121" s="55">
        <f t="shared" si="2"/>
        <v>1</v>
      </c>
      <c r="I121" s="64"/>
      <c r="J121" s="64"/>
    </row>
    <row r="122" spans="1:10" ht="13" customHeight="1">
      <c r="A122" s="91"/>
      <c r="B122" s="92"/>
      <c r="C122" s="67">
        <v>18</v>
      </c>
      <c r="D122" s="81" t="s">
        <v>188</v>
      </c>
      <c r="E122" s="76"/>
      <c r="F122" s="77"/>
      <c r="G122" s="48" t="s">
        <v>140</v>
      </c>
      <c r="H122" s="55">
        <f t="shared" si="2"/>
        <v>1</v>
      </c>
      <c r="I122" s="64"/>
      <c r="J122" s="65"/>
    </row>
    <row r="123" spans="1:10" ht="13" customHeight="1">
      <c r="A123" s="91"/>
      <c r="B123" s="138" t="s">
        <v>189</v>
      </c>
      <c r="C123" s="67">
        <v>19</v>
      </c>
      <c r="D123" s="75" t="s">
        <v>190</v>
      </c>
      <c r="E123" s="76"/>
      <c r="F123" s="77"/>
      <c r="G123" s="48" t="s">
        <v>140</v>
      </c>
      <c r="H123" s="55">
        <f t="shared" si="2"/>
        <v>1</v>
      </c>
      <c r="I123" s="64"/>
      <c r="J123" s="64"/>
    </row>
    <row r="124" spans="1:10" ht="13" customHeight="1">
      <c r="A124" s="91"/>
      <c r="B124" s="91"/>
      <c r="C124" s="67">
        <v>20</v>
      </c>
      <c r="D124" s="75" t="s">
        <v>191</v>
      </c>
      <c r="E124" s="76"/>
      <c r="F124" s="77"/>
      <c r="G124" s="48" t="s">
        <v>152</v>
      </c>
      <c r="H124" s="55">
        <f t="shared" si="2"/>
        <v>0.5</v>
      </c>
      <c r="I124" s="64"/>
      <c r="J124" s="64"/>
    </row>
    <row r="125" spans="1:10" ht="13" customHeight="1">
      <c r="A125" s="91"/>
      <c r="B125" s="92"/>
      <c r="C125" s="67">
        <v>21</v>
      </c>
      <c r="D125" s="75" t="s">
        <v>192</v>
      </c>
      <c r="E125" s="76"/>
      <c r="F125" s="77"/>
      <c r="G125" s="48" t="s">
        <v>140</v>
      </c>
      <c r="H125" s="55">
        <f t="shared" si="2"/>
        <v>1</v>
      </c>
      <c r="I125" s="64"/>
      <c r="J125" s="64"/>
    </row>
    <row r="126" spans="1:10" ht="13" customHeight="1">
      <c r="A126" s="91"/>
      <c r="B126" s="138" t="s">
        <v>193</v>
      </c>
      <c r="C126" s="67">
        <v>22</v>
      </c>
      <c r="D126" s="75" t="s">
        <v>194</v>
      </c>
      <c r="E126" s="76"/>
      <c r="F126" s="77"/>
      <c r="G126" s="48" t="s">
        <v>140</v>
      </c>
      <c r="H126" s="55">
        <f t="shared" si="2"/>
        <v>1</v>
      </c>
      <c r="I126" s="64"/>
      <c r="J126" s="64"/>
    </row>
    <row r="127" spans="1:10" ht="13" customHeight="1">
      <c r="A127" s="91"/>
      <c r="B127" s="91"/>
      <c r="C127" s="67">
        <v>23</v>
      </c>
      <c r="D127" s="75" t="s">
        <v>195</v>
      </c>
      <c r="E127" s="76"/>
      <c r="F127" s="77"/>
      <c r="G127" s="48" t="s">
        <v>140</v>
      </c>
      <c r="H127" s="55">
        <f t="shared" si="2"/>
        <v>1</v>
      </c>
      <c r="I127" s="64"/>
      <c r="J127" s="64"/>
    </row>
    <row r="128" spans="1:10" ht="13" customHeight="1">
      <c r="A128" s="91"/>
      <c r="B128" s="91"/>
      <c r="C128" s="67">
        <v>24</v>
      </c>
      <c r="D128" s="118" t="s">
        <v>196</v>
      </c>
      <c r="E128" s="76"/>
      <c r="F128" s="77"/>
      <c r="G128" s="48" t="s">
        <v>140</v>
      </c>
      <c r="H128" s="55">
        <f t="shared" si="2"/>
        <v>1</v>
      </c>
      <c r="I128" s="64"/>
      <c r="J128" s="64"/>
    </row>
    <row r="129" spans="1:10" ht="13" customHeight="1">
      <c r="A129" s="92"/>
      <c r="B129" s="92"/>
      <c r="C129" s="67">
        <v>25</v>
      </c>
      <c r="D129" s="118" t="s">
        <v>197</v>
      </c>
      <c r="E129" s="76"/>
      <c r="F129" s="77"/>
      <c r="G129" s="48" t="s">
        <v>152</v>
      </c>
      <c r="H129" s="55">
        <f t="shared" si="2"/>
        <v>0.5</v>
      </c>
      <c r="I129" s="64"/>
      <c r="J129" s="65"/>
    </row>
    <row r="130" spans="1:10" ht="13" customHeight="1">
      <c r="A130" s="147" t="s">
        <v>198</v>
      </c>
      <c r="B130" s="93" t="s">
        <v>199</v>
      </c>
      <c r="C130" s="54">
        <v>1</v>
      </c>
      <c r="D130" s="75" t="s">
        <v>200</v>
      </c>
      <c r="E130" s="76"/>
      <c r="F130" s="77"/>
      <c r="G130" s="48" t="s">
        <v>140</v>
      </c>
      <c r="H130" s="49">
        <f t="shared" si="2"/>
        <v>1</v>
      </c>
      <c r="I130" s="49"/>
      <c r="J130" s="50"/>
    </row>
    <row r="131" spans="1:10" ht="13" customHeight="1">
      <c r="A131" s="100"/>
      <c r="B131" s="94"/>
      <c r="C131" s="54">
        <v>2</v>
      </c>
      <c r="D131" s="75" t="s">
        <v>201</v>
      </c>
      <c r="E131" s="76"/>
      <c r="F131" s="77"/>
      <c r="G131" s="48" t="s">
        <v>140</v>
      </c>
      <c r="H131" s="49">
        <f t="shared" si="2"/>
        <v>1</v>
      </c>
      <c r="I131" s="49"/>
      <c r="J131" s="50"/>
    </row>
    <row r="132" spans="1:10" ht="13" customHeight="1">
      <c r="A132" s="100"/>
      <c r="B132" s="94"/>
      <c r="C132" s="54">
        <v>3</v>
      </c>
      <c r="D132" s="75" t="s">
        <v>202</v>
      </c>
      <c r="E132" s="76"/>
      <c r="F132" s="77"/>
      <c r="G132" s="48" t="s">
        <v>140</v>
      </c>
      <c r="H132" s="49">
        <f t="shared" si="2"/>
        <v>1</v>
      </c>
      <c r="I132" s="49"/>
      <c r="J132" s="50"/>
    </row>
    <row r="133" spans="1:10" ht="13" customHeight="1">
      <c r="A133" s="100"/>
      <c r="B133" s="94"/>
      <c r="C133" s="54">
        <v>4</v>
      </c>
      <c r="D133" s="75" t="s">
        <v>203</v>
      </c>
      <c r="E133" s="76"/>
      <c r="F133" s="77"/>
      <c r="G133" s="48" t="s">
        <v>158</v>
      </c>
      <c r="H133" s="49">
        <f t="shared" si="2"/>
        <v>0</v>
      </c>
      <c r="I133" s="49"/>
      <c r="J133" s="50"/>
    </row>
    <row r="134" spans="1:10" ht="13" customHeight="1">
      <c r="A134" s="100"/>
      <c r="B134" s="95"/>
      <c r="C134" s="54">
        <v>5</v>
      </c>
      <c r="D134" s="75" t="s">
        <v>204</v>
      </c>
      <c r="E134" s="76"/>
      <c r="F134" s="77"/>
      <c r="G134" s="48" t="s">
        <v>152</v>
      </c>
      <c r="H134" s="49">
        <f t="shared" si="2"/>
        <v>0.5</v>
      </c>
      <c r="I134" s="49"/>
      <c r="J134" s="50"/>
    </row>
    <row r="135" spans="1:10" ht="13" customHeight="1">
      <c r="A135" s="100"/>
      <c r="B135" s="93" t="s">
        <v>205</v>
      </c>
      <c r="C135" s="54">
        <v>6</v>
      </c>
      <c r="D135" s="75" t="s">
        <v>206</v>
      </c>
      <c r="E135" s="76"/>
      <c r="F135" s="77"/>
      <c r="G135" s="48" t="s">
        <v>140</v>
      </c>
      <c r="H135" s="49">
        <f t="shared" si="2"/>
        <v>1</v>
      </c>
      <c r="I135" s="49"/>
      <c r="J135" s="50"/>
    </row>
    <row r="136" spans="1:10" ht="13" customHeight="1">
      <c r="A136" s="100"/>
      <c r="B136" s="94"/>
      <c r="C136" s="54">
        <v>7</v>
      </c>
      <c r="D136" s="75" t="s">
        <v>207</v>
      </c>
      <c r="E136" s="76"/>
      <c r="F136" s="77"/>
      <c r="G136" s="48" t="s">
        <v>140</v>
      </c>
      <c r="H136" s="49">
        <f t="shared" si="2"/>
        <v>1</v>
      </c>
      <c r="I136" s="49"/>
      <c r="J136" s="50"/>
    </row>
    <row r="137" spans="1:10" ht="13" customHeight="1">
      <c r="A137" s="100"/>
      <c r="B137" s="94"/>
      <c r="C137" s="54">
        <v>8</v>
      </c>
      <c r="D137" s="75" t="s">
        <v>208</v>
      </c>
      <c r="E137" s="76"/>
      <c r="F137" s="77"/>
      <c r="G137" s="48" t="s">
        <v>140</v>
      </c>
      <c r="H137" s="49">
        <f t="shared" si="2"/>
        <v>1</v>
      </c>
      <c r="I137" s="49"/>
      <c r="J137" s="50"/>
    </row>
    <row r="138" spans="1:10" ht="13" customHeight="1">
      <c r="A138" s="100"/>
      <c r="B138" s="94"/>
      <c r="C138" s="54">
        <v>9</v>
      </c>
      <c r="D138" s="75" t="s">
        <v>209</v>
      </c>
      <c r="E138" s="76"/>
      <c r="F138" s="77"/>
      <c r="G138" s="48" t="s">
        <v>140</v>
      </c>
      <c r="H138" s="49">
        <f t="shared" si="2"/>
        <v>1</v>
      </c>
      <c r="I138" s="49"/>
      <c r="J138" s="50"/>
    </row>
    <row r="139" spans="1:10" ht="13" customHeight="1">
      <c r="A139" s="100"/>
      <c r="B139" s="95"/>
      <c r="C139" s="54">
        <v>10</v>
      </c>
      <c r="D139" s="75" t="s">
        <v>210</v>
      </c>
      <c r="E139" s="76"/>
      <c r="F139" s="77"/>
      <c r="G139" s="48" t="s">
        <v>140</v>
      </c>
      <c r="H139" s="49">
        <f t="shared" si="2"/>
        <v>1</v>
      </c>
      <c r="I139" s="49"/>
      <c r="J139" s="50"/>
    </row>
    <row r="140" spans="1:10" ht="13" customHeight="1">
      <c r="A140" s="100"/>
      <c r="B140" s="93" t="s">
        <v>211</v>
      </c>
      <c r="C140" s="54">
        <v>11</v>
      </c>
      <c r="D140" s="75" t="s">
        <v>212</v>
      </c>
      <c r="E140" s="76"/>
      <c r="F140" s="77"/>
      <c r="G140" s="48" t="s">
        <v>140</v>
      </c>
      <c r="H140" s="49">
        <f t="shared" si="2"/>
        <v>1</v>
      </c>
      <c r="I140" s="49"/>
      <c r="J140" s="50"/>
    </row>
    <row r="141" spans="1:10" ht="13" customHeight="1">
      <c r="A141" s="100"/>
      <c r="B141" s="94"/>
      <c r="C141" s="54">
        <v>12</v>
      </c>
      <c r="D141" s="75" t="s">
        <v>213</v>
      </c>
      <c r="E141" s="76"/>
      <c r="F141" s="77"/>
      <c r="G141" s="48" t="s">
        <v>140</v>
      </c>
      <c r="H141" s="49">
        <f t="shared" si="2"/>
        <v>1</v>
      </c>
      <c r="I141" s="49"/>
      <c r="J141" s="50"/>
    </row>
    <row r="142" spans="1:10" ht="13" customHeight="1">
      <c r="A142" s="100"/>
      <c r="B142" s="94"/>
      <c r="C142" s="54">
        <v>13</v>
      </c>
      <c r="D142" s="75" t="s">
        <v>214</v>
      </c>
      <c r="E142" s="76"/>
      <c r="F142" s="77"/>
      <c r="G142" s="48" t="s">
        <v>140</v>
      </c>
      <c r="H142" s="49">
        <f t="shared" si="2"/>
        <v>1</v>
      </c>
      <c r="I142" s="49"/>
      <c r="J142" s="50"/>
    </row>
    <row r="143" spans="1:10" ht="13" customHeight="1">
      <c r="A143" s="100"/>
      <c r="B143" s="94"/>
      <c r="C143" s="54">
        <v>14</v>
      </c>
      <c r="D143" s="75" t="s">
        <v>215</v>
      </c>
      <c r="E143" s="76"/>
      <c r="F143" s="77"/>
      <c r="G143" s="48" t="s">
        <v>140</v>
      </c>
      <c r="H143" s="49">
        <f t="shared" si="2"/>
        <v>1</v>
      </c>
      <c r="I143" s="49"/>
      <c r="J143" s="50"/>
    </row>
    <row r="144" spans="1:10" ht="13" customHeight="1">
      <c r="A144" s="100"/>
      <c r="B144" s="94"/>
      <c r="C144" s="54">
        <v>15</v>
      </c>
      <c r="D144" s="75" t="s">
        <v>216</v>
      </c>
      <c r="E144" s="76"/>
      <c r="F144" s="77"/>
      <c r="G144" s="48" t="s">
        <v>140</v>
      </c>
      <c r="H144" s="49">
        <f t="shared" si="2"/>
        <v>1</v>
      </c>
      <c r="I144" s="49"/>
      <c r="J144" s="50"/>
    </row>
    <row r="145" spans="1:10" ht="13" customHeight="1">
      <c r="A145" s="100"/>
      <c r="B145" s="94"/>
      <c r="C145" s="54">
        <v>16</v>
      </c>
      <c r="D145" s="75" t="s">
        <v>217</v>
      </c>
      <c r="E145" s="76"/>
      <c r="F145" s="77"/>
      <c r="G145" s="48" t="s">
        <v>152</v>
      </c>
      <c r="H145" s="49">
        <f t="shared" si="2"/>
        <v>0.5</v>
      </c>
      <c r="I145" s="49"/>
      <c r="J145" s="50"/>
    </row>
    <row r="146" spans="1:10" ht="13" customHeight="1">
      <c r="A146" s="100"/>
      <c r="B146" s="94"/>
      <c r="C146" s="54">
        <v>17</v>
      </c>
      <c r="D146" s="75" t="s">
        <v>218</v>
      </c>
      <c r="E146" s="76"/>
      <c r="F146" s="77"/>
      <c r="G146" s="48" t="s">
        <v>140</v>
      </c>
      <c r="H146" s="49">
        <f t="shared" si="2"/>
        <v>1</v>
      </c>
      <c r="I146" s="49"/>
      <c r="J146" s="50"/>
    </row>
    <row r="147" spans="1:10" ht="13" customHeight="1">
      <c r="A147" s="100"/>
      <c r="B147" s="94"/>
      <c r="C147" s="54">
        <v>18</v>
      </c>
      <c r="D147" s="75" t="s">
        <v>219</v>
      </c>
      <c r="E147" s="76"/>
      <c r="F147" s="77"/>
      <c r="G147" s="48" t="s">
        <v>152</v>
      </c>
      <c r="H147" s="49">
        <f t="shared" ref="H147:H160" si="3">IF(G147="〇", 1, IF(G147="△", 0.5, 0))</f>
        <v>0.5</v>
      </c>
      <c r="I147" s="49"/>
      <c r="J147" s="50"/>
    </row>
    <row r="148" spans="1:10" ht="13" customHeight="1">
      <c r="A148" s="100"/>
      <c r="B148" s="94"/>
      <c r="C148" s="54">
        <v>19</v>
      </c>
      <c r="D148" s="75" t="s">
        <v>220</v>
      </c>
      <c r="E148" s="76"/>
      <c r="F148" s="77"/>
      <c r="G148" s="48" t="s">
        <v>140</v>
      </c>
      <c r="H148" s="49">
        <f t="shared" si="3"/>
        <v>1</v>
      </c>
      <c r="I148" s="49"/>
      <c r="J148" s="50"/>
    </row>
    <row r="149" spans="1:10" ht="13" customHeight="1">
      <c r="A149" s="100"/>
      <c r="B149" s="94"/>
      <c r="C149" s="54">
        <v>20</v>
      </c>
      <c r="D149" s="75" t="s">
        <v>221</v>
      </c>
      <c r="E149" s="76"/>
      <c r="F149" s="77"/>
      <c r="G149" s="48" t="s">
        <v>140</v>
      </c>
      <c r="H149" s="49">
        <f t="shared" si="3"/>
        <v>1</v>
      </c>
      <c r="I149" s="49"/>
      <c r="J149" s="50"/>
    </row>
    <row r="150" spans="1:10" ht="13" customHeight="1">
      <c r="A150" s="100"/>
      <c r="B150" s="94"/>
      <c r="C150" s="54">
        <v>21</v>
      </c>
      <c r="D150" s="75" t="s">
        <v>222</v>
      </c>
      <c r="E150" s="76"/>
      <c r="F150" s="77"/>
      <c r="G150" s="48" t="s">
        <v>140</v>
      </c>
      <c r="H150" s="49">
        <f t="shared" si="3"/>
        <v>1</v>
      </c>
      <c r="I150" s="49"/>
      <c r="J150" s="50"/>
    </row>
    <row r="151" spans="1:10" ht="13" customHeight="1">
      <c r="A151" s="100"/>
      <c r="B151" s="94"/>
      <c r="C151" s="54">
        <v>22</v>
      </c>
      <c r="D151" s="75" t="s">
        <v>223</v>
      </c>
      <c r="E151" s="76"/>
      <c r="F151" s="77"/>
      <c r="G151" s="48" t="s">
        <v>140</v>
      </c>
      <c r="H151" s="49">
        <f t="shared" si="3"/>
        <v>1</v>
      </c>
      <c r="I151" s="49"/>
      <c r="J151" s="50"/>
    </row>
    <row r="152" spans="1:10" ht="13" customHeight="1">
      <c r="A152" s="100"/>
      <c r="B152" s="95"/>
      <c r="C152" s="54">
        <v>23</v>
      </c>
      <c r="D152" s="75" t="s">
        <v>224</v>
      </c>
      <c r="E152" s="76"/>
      <c r="F152" s="77"/>
      <c r="G152" s="48" t="s">
        <v>152</v>
      </c>
      <c r="H152" s="49">
        <f t="shared" si="3"/>
        <v>0.5</v>
      </c>
      <c r="I152" s="50" t="s">
        <v>225</v>
      </c>
      <c r="J152" s="50"/>
    </row>
    <row r="153" spans="1:10" ht="13" customHeight="1">
      <c r="A153" s="100"/>
      <c r="B153" s="93" t="s">
        <v>226</v>
      </c>
      <c r="C153" s="54">
        <v>24</v>
      </c>
      <c r="D153" s="75" t="s">
        <v>227</v>
      </c>
      <c r="E153" s="76"/>
      <c r="F153" s="77"/>
      <c r="G153" s="48"/>
      <c r="H153" s="49">
        <f t="shared" si="3"/>
        <v>0</v>
      </c>
      <c r="I153" s="68" t="s">
        <v>228</v>
      </c>
      <c r="J153" s="50"/>
    </row>
    <row r="154" spans="1:10" ht="13" customHeight="1">
      <c r="A154" s="100"/>
      <c r="B154" s="94"/>
      <c r="C154" s="54">
        <v>25</v>
      </c>
      <c r="D154" s="75" t="s">
        <v>229</v>
      </c>
      <c r="E154" s="76"/>
      <c r="F154" s="77"/>
      <c r="G154" s="48"/>
      <c r="H154" s="49">
        <f t="shared" si="3"/>
        <v>0</v>
      </c>
      <c r="I154" s="50"/>
      <c r="J154" s="50"/>
    </row>
    <row r="155" spans="1:10" ht="13" customHeight="1">
      <c r="A155" s="100"/>
      <c r="B155" s="94"/>
      <c r="C155" s="54">
        <v>26</v>
      </c>
      <c r="D155" s="75" t="s">
        <v>230</v>
      </c>
      <c r="E155" s="76"/>
      <c r="F155" s="77"/>
      <c r="G155" s="48"/>
      <c r="H155" s="49">
        <f t="shared" si="3"/>
        <v>0</v>
      </c>
      <c r="I155" s="49"/>
      <c r="J155" s="50"/>
    </row>
    <row r="156" spans="1:10" ht="13" customHeight="1">
      <c r="A156" s="100"/>
      <c r="B156" s="94"/>
      <c r="C156" s="54">
        <v>27</v>
      </c>
      <c r="D156" s="75" t="s">
        <v>231</v>
      </c>
      <c r="E156" s="76"/>
      <c r="F156" s="77"/>
      <c r="G156" s="48"/>
      <c r="H156" s="49">
        <f t="shared" si="3"/>
        <v>0</v>
      </c>
      <c r="I156" s="49"/>
      <c r="J156" s="50"/>
    </row>
    <row r="157" spans="1:10" ht="13" customHeight="1">
      <c r="A157" s="100"/>
      <c r="B157" s="94"/>
      <c r="C157" s="54">
        <v>28</v>
      </c>
      <c r="D157" s="75" t="s">
        <v>232</v>
      </c>
      <c r="E157" s="76"/>
      <c r="F157" s="77"/>
      <c r="G157" s="48"/>
      <c r="H157" s="49">
        <f t="shared" si="3"/>
        <v>0</v>
      </c>
      <c r="I157" s="49"/>
      <c r="J157" s="50"/>
    </row>
    <row r="158" spans="1:10" ht="13" customHeight="1">
      <c r="A158" s="100"/>
      <c r="B158" s="94"/>
      <c r="C158" s="54">
        <v>29</v>
      </c>
      <c r="D158" s="75" t="s">
        <v>233</v>
      </c>
      <c r="E158" s="76"/>
      <c r="F158" s="77"/>
      <c r="G158" s="48"/>
      <c r="H158" s="49">
        <f t="shared" si="3"/>
        <v>0</v>
      </c>
      <c r="I158" s="49"/>
      <c r="J158" s="50"/>
    </row>
    <row r="159" spans="1:10" ht="13" customHeight="1">
      <c r="A159" s="100"/>
      <c r="B159" s="94"/>
      <c r="C159" s="54">
        <v>30</v>
      </c>
      <c r="D159" s="75" t="s">
        <v>234</v>
      </c>
      <c r="E159" s="76"/>
      <c r="F159" s="77"/>
      <c r="G159" s="48"/>
      <c r="H159" s="49">
        <f t="shared" si="3"/>
        <v>0</v>
      </c>
      <c r="I159" s="49"/>
      <c r="J159" s="50"/>
    </row>
    <row r="160" spans="1:10" ht="13" customHeight="1">
      <c r="A160" s="100"/>
      <c r="B160" s="95"/>
      <c r="C160" s="54">
        <v>31</v>
      </c>
      <c r="D160" s="75" t="s">
        <v>235</v>
      </c>
      <c r="E160" s="76"/>
      <c r="F160" s="77"/>
      <c r="G160" s="48"/>
      <c r="H160" s="49">
        <f t="shared" si="3"/>
        <v>0</v>
      </c>
      <c r="I160" s="49"/>
      <c r="J160" s="50"/>
    </row>
    <row r="161" spans="1:10" ht="22" customHeight="1">
      <c r="A161" s="128" t="s">
        <v>236</v>
      </c>
      <c r="B161" s="123"/>
      <c r="C161" s="123"/>
      <c r="D161" s="123"/>
      <c r="E161" s="123"/>
      <c r="F161" s="123"/>
      <c r="G161" s="123"/>
      <c r="H161" s="123"/>
      <c r="I161" s="123"/>
      <c r="J161" s="124"/>
    </row>
    <row r="162" spans="1:10" ht="14" customHeight="1">
      <c r="A162" s="69"/>
      <c r="B162" s="153" t="s">
        <v>237</v>
      </c>
      <c r="C162" s="67">
        <v>1</v>
      </c>
      <c r="D162" s="75" t="s">
        <v>238</v>
      </c>
      <c r="E162" s="76"/>
      <c r="F162" s="77"/>
      <c r="G162" s="48"/>
      <c r="H162" s="49">
        <f t="shared" ref="H162:H172" si="4">IF(G162="〇", 1, IF(G162="△", 0.5, 0))</f>
        <v>0</v>
      </c>
      <c r="I162" s="50" t="s">
        <v>111</v>
      </c>
      <c r="J162" s="49"/>
    </row>
    <row r="163" spans="1:10" ht="14" customHeight="1">
      <c r="A163" s="69"/>
      <c r="B163" s="91"/>
      <c r="C163" s="67">
        <v>2</v>
      </c>
      <c r="D163" s="75" t="s">
        <v>239</v>
      </c>
      <c r="E163" s="76"/>
      <c r="F163" s="77"/>
      <c r="G163" s="48"/>
      <c r="H163" s="49">
        <f t="shared" si="4"/>
        <v>0</v>
      </c>
      <c r="I163" s="49"/>
      <c r="J163" s="49"/>
    </row>
    <row r="164" spans="1:10" ht="14" customHeight="1">
      <c r="A164" s="69"/>
      <c r="B164" s="91"/>
      <c r="C164" s="67">
        <v>3</v>
      </c>
      <c r="D164" s="75" t="s">
        <v>240</v>
      </c>
      <c r="E164" s="76"/>
      <c r="F164" s="77"/>
      <c r="G164" s="48"/>
      <c r="H164" s="49">
        <f t="shared" si="4"/>
        <v>0</v>
      </c>
      <c r="I164" s="50" t="s">
        <v>111</v>
      </c>
      <c r="J164" s="49"/>
    </row>
    <row r="165" spans="1:10" ht="14" customHeight="1">
      <c r="A165" s="69" t="s">
        <v>46</v>
      </c>
      <c r="B165" s="91"/>
      <c r="C165" s="67">
        <v>4</v>
      </c>
      <c r="D165" s="75" t="s">
        <v>241</v>
      </c>
      <c r="E165" s="76"/>
      <c r="F165" s="77"/>
      <c r="G165" s="48"/>
      <c r="H165" s="49">
        <f t="shared" si="4"/>
        <v>0</v>
      </c>
      <c r="I165" s="49"/>
      <c r="J165" s="49"/>
    </row>
    <row r="166" spans="1:10" ht="14" customHeight="1">
      <c r="A166" s="69"/>
      <c r="B166" s="92"/>
      <c r="C166" s="67">
        <v>5</v>
      </c>
      <c r="D166" s="75" t="s">
        <v>242</v>
      </c>
      <c r="E166" s="76"/>
      <c r="F166" s="77"/>
      <c r="G166" s="48"/>
      <c r="H166" s="49">
        <f t="shared" si="4"/>
        <v>0</v>
      </c>
      <c r="I166" s="49"/>
      <c r="J166" s="49"/>
    </row>
    <row r="167" spans="1:10" ht="14" customHeight="1">
      <c r="A167" s="69"/>
      <c r="B167" s="151" t="s">
        <v>243</v>
      </c>
      <c r="C167" s="67">
        <v>6</v>
      </c>
      <c r="D167" s="75" t="s">
        <v>244</v>
      </c>
      <c r="E167" s="76"/>
      <c r="F167" s="77"/>
      <c r="G167" s="48"/>
      <c r="H167" s="49">
        <f t="shared" si="4"/>
        <v>0</v>
      </c>
      <c r="I167" s="49"/>
      <c r="J167" s="49"/>
    </row>
    <row r="168" spans="1:10" ht="14" customHeight="1">
      <c r="A168" s="69"/>
      <c r="B168" s="91"/>
      <c r="C168" s="67">
        <v>7</v>
      </c>
      <c r="D168" s="75" t="s">
        <v>245</v>
      </c>
      <c r="E168" s="76"/>
      <c r="F168" s="77"/>
      <c r="G168" s="48"/>
      <c r="H168" s="49">
        <f t="shared" si="4"/>
        <v>0</v>
      </c>
      <c r="I168" s="49"/>
      <c r="J168" s="49"/>
    </row>
    <row r="169" spans="1:10" ht="14" customHeight="1">
      <c r="A169" s="69"/>
      <c r="B169" s="91"/>
      <c r="C169" s="67">
        <v>8</v>
      </c>
      <c r="D169" s="75" t="s">
        <v>246</v>
      </c>
      <c r="E169" s="76"/>
      <c r="F169" s="77"/>
      <c r="G169" s="48"/>
      <c r="H169" s="49">
        <f t="shared" si="4"/>
        <v>0</v>
      </c>
      <c r="I169" s="49"/>
      <c r="J169" s="49"/>
    </row>
    <row r="170" spans="1:10" ht="14" customHeight="1">
      <c r="A170" s="69"/>
      <c r="B170" s="91"/>
      <c r="C170" s="67">
        <v>9</v>
      </c>
      <c r="D170" s="75" t="s">
        <v>247</v>
      </c>
      <c r="E170" s="76"/>
      <c r="F170" s="77"/>
      <c r="G170" s="48"/>
      <c r="H170" s="49">
        <f t="shared" si="4"/>
        <v>0</v>
      </c>
      <c r="I170" s="49"/>
      <c r="J170" s="49"/>
    </row>
    <row r="171" spans="1:10" ht="14" customHeight="1">
      <c r="A171" s="69"/>
      <c r="B171" s="91"/>
      <c r="C171" s="67">
        <v>10</v>
      </c>
      <c r="D171" s="75" t="s">
        <v>248</v>
      </c>
      <c r="E171" s="76"/>
      <c r="F171" s="77"/>
      <c r="G171" s="48"/>
      <c r="H171" s="49">
        <f t="shared" si="4"/>
        <v>0</v>
      </c>
      <c r="I171" s="49"/>
      <c r="J171" s="49"/>
    </row>
    <row r="172" spans="1:10" ht="14" customHeight="1">
      <c r="A172" s="69"/>
      <c r="B172" s="92"/>
      <c r="C172" s="67">
        <v>11</v>
      </c>
      <c r="D172" s="75" t="s">
        <v>249</v>
      </c>
      <c r="E172" s="76"/>
      <c r="F172" s="77"/>
      <c r="G172" s="48"/>
      <c r="H172" s="49">
        <f t="shared" si="4"/>
        <v>0</v>
      </c>
      <c r="I172" s="49"/>
      <c r="J172" s="49"/>
    </row>
  </sheetData>
  <mergeCells count="197">
    <mergeCell ref="D127:F127"/>
    <mergeCell ref="B79:B81"/>
    <mergeCell ref="B15:D15"/>
    <mergeCell ref="D114:F114"/>
    <mergeCell ref="F41:G41"/>
    <mergeCell ref="B6:D6"/>
    <mergeCell ref="A130:A160"/>
    <mergeCell ref="D133:F133"/>
    <mergeCell ref="D142:F142"/>
    <mergeCell ref="D94:F94"/>
    <mergeCell ref="D129:F129"/>
    <mergeCell ref="I42:J42"/>
    <mergeCell ref="B72:B74"/>
    <mergeCell ref="D159:F159"/>
    <mergeCell ref="D158:F158"/>
    <mergeCell ref="D95:F95"/>
    <mergeCell ref="A34:B34"/>
    <mergeCell ref="D104:F104"/>
    <mergeCell ref="D160:F160"/>
    <mergeCell ref="B14:D14"/>
    <mergeCell ref="D136:F136"/>
    <mergeCell ref="B11:D11"/>
    <mergeCell ref="D76:F76"/>
    <mergeCell ref="C44:E44"/>
    <mergeCell ref="B75:B78"/>
    <mergeCell ref="D116:F116"/>
    <mergeCell ref="B153:B160"/>
    <mergeCell ref="C40:E40"/>
    <mergeCell ref="D75:F75"/>
    <mergeCell ref="B4:D4"/>
    <mergeCell ref="A42:B42"/>
    <mergeCell ref="A16:D16"/>
    <mergeCell ref="D144:F144"/>
    <mergeCell ref="C34:E34"/>
    <mergeCell ref="A35:B35"/>
    <mergeCell ref="C42:E42"/>
    <mergeCell ref="F43:G43"/>
    <mergeCell ref="I44:J44"/>
    <mergeCell ref="D119:F119"/>
    <mergeCell ref="D128:F128"/>
    <mergeCell ref="B83:B90"/>
    <mergeCell ref="D80:F80"/>
    <mergeCell ref="B120:B122"/>
    <mergeCell ref="D96:F96"/>
    <mergeCell ref="D105:F105"/>
    <mergeCell ref="B5:D5"/>
    <mergeCell ref="I35:J35"/>
    <mergeCell ref="A71:J71"/>
    <mergeCell ref="B126:B129"/>
    <mergeCell ref="D111:F111"/>
    <mergeCell ref="C35:E35"/>
    <mergeCell ref="D108:F108"/>
    <mergeCell ref="D86:F86"/>
    <mergeCell ref="B8:D8"/>
    <mergeCell ref="D107:F107"/>
    <mergeCell ref="F34:G34"/>
    <mergeCell ref="A45:B45"/>
    <mergeCell ref="D163:F163"/>
    <mergeCell ref="D91:F91"/>
    <mergeCell ref="D147:F147"/>
    <mergeCell ref="D162:F162"/>
    <mergeCell ref="A161:J161"/>
    <mergeCell ref="D156:F156"/>
    <mergeCell ref="C46:E46"/>
    <mergeCell ref="B9:D9"/>
    <mergeCell ref="F46:G46"/>
    <mergeCell ref="B117:B119"/>
    <mergeCell ref="D100:F100"/>
    <mergeCell ref="D109:F109"/>
    <mergeCell ref="F39:G39"/>
    <mergeCell ref="F33:J33"/>
    <mergeCell ref="D143:F143"/>
    <mergeCell ref="D92:F92"/>
    <mergeCell ref="D152:F152"/>
    <mergeCell ref="B162:B166"/>
    <mergeCell ref="D166:F166"/>
    <mergeCell ref="B123:B125"/>
    <mergeCell ref="I41:J41"/>
    <mergeCell ref="A37:B37"/>
    <mergeCell ref="F45:G45"/>
    <mergeCell ref="A46:B46"/>
    <mergeCell ref="F42:G42"/>
    <mergeCell ref="D74:F74"/>
    <mergeCell ref="D130:F130"/>
    <mergeCell ref="D83:F83"/>
    <mergeCell ref="A82:J82"/>
    <mergeCell ref="D117:F117"/>
    <mergeCell ref="C38:E38"/>
    <mergeCell ref="I43:J43"/>
    <mergeCell ref="B91:B95"/>
    <mergeCell ref="D110:F110"/>
    <mergeCell ref="D85:F85"/>
    <mergeCell ref="A39:B39"/>
    <mergeCell ref="D120:F120"/>
    <mergeCell ref="A48:J49"/>
    <mergeCell ref="I46:J46"/>
    <mergeCell ref="D102:F102"/>
    <mergeCell ref="A41:B41"/>
    <mergeCell ref="D72:F72"/>
    <mergeCell ref="D103:F103"/>
    <mergeCell ref="D112:F112"/>
    <mergeCell ref="D148:F148"/>
    <mergeCell ref="D123:F123"/>
    <mergeCell ref="D115:F115"/>
    <mergeCell ref="B130:B134"/>
    <mergeCell ref="D138:F138"/>
    <mergeCell ref="D171:F171"/>
    <mergeCell ref="B10:D10"/>
    <mergeCell ref="D106:F106"/>
    <mergeCell ref="D137:F137"/>
    <mergeCell ref="D146:F146"/>
    <mergeCell ref="D93:F93"/>
    <mergeCell ref="C39:E39"/>
    <mergeCell ref="D157:F157"/>
    <mergeCell ref="D132:F132"/>
    <mergeCell ref="D170:F170"/>
    <mergeCell ref="B140:B152"/>
    <mergeCell ref="D154:F154"/>
    <mergeCell ref="D168:F168"/>
    <mergeCell ref="D165:F165"/>
    <mergeCell ref="B167:B172"/>
    <mergeCell ref="D164:F164"/>
    <mergeCell ref="B12:D12"/>
    <mergeCell ref="D134:F134"/>
    <mergeCell ref="D118:F118"/>
    <mergeCell ref="D135:F135"/>
    <mergeCell ref="I36:J36"/>
    <mergeCell ref="F40:G40"/>
    <mergeCell ref="C43:E43"/>
    <mergeCell ref="D125:F125"/>
    <mergeCell ref="B1:D1"/>
    <mergeCell ref="D150:F150"/>
    <mergeCell ref="D145:F145"/>
    <mergeCell ref="D97:F97"/>
    <mergeCell ref="B13:D13"/>
    <mergeCell ref="A36:B36"/>
    <mergeCell ref="I45:J45"/>
    <mergeCell ref="D78:F78"/>
    <mergeCell ref="D87:F87"/>
    <mergeCell ref="C36:E36"/>
    <mergeCell ref="D122:F122"/>
    <mergeCell ref="F36:G36"/>
    <mergeCell ref="I37:J37"/>
    <mergeCell ref="D121:F121"/>
    <mergeCell ref="A50:J68"/>
    <mergeCell ref="D73:F73"/>
    <mergeCell ref="D113:F113"/>
    <mergeCell ref="C37:E37"/>
    <mergeCell ref="A17:D31"/>
    <mergeCell ref="D169:F169"/>
    <mergeCell ref="F38:G38"/>
    <mergeCell ref="D79:F79"/>
    <mergeCell ref="A33:E33"/>
    <mergeCell ref="D88:F88"/>
    <mergeCell ref="A83:A104"/>
    <mergeCell ref="A105:A129"/>
    <mergeCell ref="D167:F167"/>
    <mergeCell ref="D172:F172"/>
    <mergeCell ref="D99:F99"/>
    <mergeCell ref="A38:B38"/>
    <mergeCell ref="A43:B43"/>
    <mergeCell ref="D84:F84"/>
    <mergeCell ref="D140:F140"/>
    <mergeCell ref="D155:F155"/>
    <mergeCell ref="D149:F149"/>
    <mergeCell ref="A72:A81"/>
    <mergeCell ref="A40:B40"/>
    <mergeCell ref="D101:F101"/>
    <mergeCell ref="D124:F124"/>
    <mergeCell ref="D77:F77"/>
    <mergeCell ref="D151:F151"/>
    <mergeCell ref="C41:E41"/>
    <mergeCell ref="D126:F126"/>
    <mergeCell ref="I39:J39"/>
    <mergeCell ref="D153:F153"/>
    <mergeCell ref="B7:D7"/>
    <mergeCell ref="I1:J1"/>
    <mergeCell ref="D81:F81"/>
    <mergeCell ref="F37:G37"/>
    <mergeCell ref="B3:D3"/>
    <mergeCell ref="D90:F90"/>
    <mergeCell ref="I38:J38"/>
    <mergeCell ref="C45:E45"/>
    <mergeCell ref="D131:F131"/>
    <mergeCell ref="A44:B44"/>
    <mergeCell ref="D139:F139"/>
    <mergeCell ref="I40:J40"/>
    <mergeCell ref="B2:D2"/>
    <mergeCell ref="F44:G44"/>
    <mergeCell ref="F35:G35"/>
    <mergeCell ref="B105:B116"/>
    <mergeCell ref="D89:F89"/>
    <mergeCell ref="D98:F98"/>
    <mergeCell ref="B135:B139"/>
    <mergeCell ref="H34:J34"/>
    <mergeCell ref="D141:F141"/>
    <mergeCell ref="D70:F70"/>
  </mergeCells>
  <phoneticPr fontId="30"/>
  <conditionalFormatting sqref="G72:G81 G83:G160 G162:G172">
    <cfRule type="cellIs" dxfId="0" priority="1" operator="equal">
      <formula>"✕"</formula>
    </cfRule>
  </conditionalFormatting>
  <dataValidations count="1">
    <dataValidation type="list" allowBlank="1" sqref="G72:G81 G83:G160 G162:G172" xr:uid="{00000000-0002-0000-0000-000000000000}">
      <formula1>"〇,△,✕"</formula1>
    </dataValidation>
  </dataValidations>
  <hyperlinks>
    <hyperlink ref="B3" r:id="rId1" xr:uid="{00000000-0004-0000-0000-000000000000}"/>
    <hyperlink ref="B7" r:id="rId2" xr:uid="{00000000-0004-0000-0000-000001000000}"/>
    <hyperlink ref="B8" r:id="rId3" xr:uid="{00000000-0004-0000-0000-000002000000}"/>
    <hyperlink ref="B9" r:id="rId4" xr:uid="{00000000-0004-0000-0000-000003000000}"/>
    <hyperlink ref="I153" r:id="rId5" xr:uid="{00000000-0004-0000-0000-000004000000}"/>
  </hyperlinks>
  <printOptions horizontalCentered="1" gridLines="1"/>
  <pageMargins left="0.7" right="0.7" top="0.75" bottom="0.75" header="0" footer="0"/>
  <pageSetup paperSize="9" fitToHeight="0" pageOrder="overThenDown" orientation="portrait" cellComments="atEnd"/>
  <drawing r:id="rId6"/>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エキスパートハブ様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学斗 藤本</cp:lastModifiedBy>
  <dcterms:created xsi:type="dcterms:W3CDTF">2026-02-13T01:45:28Z</dcterms:created>
  <dcterms:modified xsi:type="dcterms:W3CDTF">2026-03-26T05:55:43Z</dcterms:modified>
</cp:coreProperties>
</file>